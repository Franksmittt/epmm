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kealot" sheetId="1" r:id="rId5"/>
    <sheet state="visible" name="Makro " sheetId="2" r:id="rId6"/>
    <sheet state="visible" name="Leroy " sheetId="3" r:id="rId7"/>
    <sheet state="visible" name="Products To Be Loaded ASAP" sheetId="4" r:id="rId8"/>
    <sheet state="visible" name="Potential Vendors" sheetId="5" r:id="rId9"/>
  </sheets>
  <definedNames/>
  <calcPr/>
</workbook>
</file>

<file path=xl/sharedStrings.xml><?xml version="1.0" encoding="utf-8"?>
<sst xmlns="http://schemas.openxmlformats.org/spreadsheetml/2006/main" count="1097" uniqueCount="922">
  <si>
    <t xml:space="preserve">Takealot </t>
  </si>
  <si>
    <t>LATEST UPDATE DATE</t>
  </si>
  <si>
    <t>Product Title</t>
  </si>
  <si>
    <t>Barcode</t>
  </si>
  <si>
    <t>Cost
Excl</t>
  </si>
  <si>
    <t>Cost Price
Incl</t>
  </si>
  <si>
    <t>Selling
Excl</t>
  </si>
  <si>
    <t>Selling Price
Incl</t>
  </si>
  <si>
    <t>Takealot Commission</t>
  </si>
  <si>
    <t xml:space="preserve">Stock Movment 30 days </t>
  </si>
  <si>
    <t>Stock Movment 30 days (Rands)</t>
  </si>
  <si>
    <t>COMIBINED COST</t>
  </si>
  <si>
    <t>COMBINED SELLING</t>
  </si>
  <si>
    <t>COMBINED FEES</t>
  </si>
  <si>
    <t>SELLING MINUS FEES</t>
  </si>
  <si>
    <t>ACTUAL GP</t>
  </si>
  <si>
    <t>Fulfillment Fee</t>
  </si>
  <si>
    <t>Success
Fee</t>
  </si>
  <si>
    <t>TOTAL FEES</t>
  </si>
  <si>
    <t>01/06-30/06</t>
  </si>
  <si>
    <t>Asterion CT1204 YTX4L-BS AGM Motorcycle Battery</t>
  </si>
  <si>
    <t>Asterion CT1207 YTX7A-BS AGM Motorcycle Battery</t>
  </si>
  <si>
    <t>Asterion CT1207.1 YTX7L-BS AGM Motorcycle Battery</t>
  </si>
  <si>
    <t>Asterion CT1205.1 12N5-3B AGM Motorcycle Battery</t>
  </si>
  <si>
    <t>Asterion CT1205 YTX5L-BS AGM Motorcycle Battery</t>
  </si>
  <si>
    <t>Asterion CT1207.2 YTZ7S AGM Motorcycle Battery</t>
  </si>
  <si>
    <t>Asterion CT1208 YT7B-BS AGM Motorcycle Battery</t>
  </si>
  <si>
    <t>Asterion CT1211 YTZ12S YTZ14S AGM Motorcycle Battery</t>
  </si>
  <si>
    <t>Asterion CT1209 YTX9-BS AGM Motorcycle Battery</t>
  </si>
  <si>
    <t>Asterion CT1209.1 YT9B-BS AGM Motorcycle Battery</t>
  </si>
  <si>
    <t>Asterion CT1210 12N9-4B-B1 AGM Motorcycle Battery</t>
  </si>
  <si>
    <t>Asterion CT1210.1 YTZ10S AGM Motorcycle Battery</t>
  </si>
  <si>
    <t>Asterion CT1212 YTX12-BS AGM Motorcycle Battery</t>
  </si>
  <si>
    <t>Asterion CT1212.1 YT12B-BS AGM Motorcycle Battery</t>
  </si>
  <si>
    <t>Asterion CT1214 YTX14-BS AGM Motorcycle Battery</t>
  </si>
  <si>
    <t>Asterion CT1214.1 YTX14AH-BH AGM Motorcycle Battery</t>
  </si>
  <si>
    <t>Asterion CT1216.1 YB16B-A AGM Motorcycle Battery</t>
  </si>
  <si>
    <t>Asterion CT1218 YB18-A AGM Motorcycle Battery</t>
  </si>
  <si>
    <t>Asterion CT1230 YTX30L-BS AGM Motorcycle Battery</t>
  </si>
  <si>
    <t>Asterion CT1220 Y50-N18L-A3 AGM Motorcycle Battery</t>
  </si>
  <si>
    <t>Asterion CT12201 YTX20L-BS AGM Motorcycle Battery</t>
  </si>
  <si>
    <t>Asterion CT1216 YTX16-BS AGM Motorcycle Battery</t>
  </si>
  <si>
    <t>Asterion DT1240 12V 40Ah AGM Battery</t>
  </si>
  <si>
    <t>Asterion DTM1207 12V 7Ah AGM Battery</t>
  </si>
  <si>
    <t>Asterion DTS1207 12V 7Ah AGM Battery</t>
  </si>
  <si>
    <t>Asterion DTS1209 12V 9Ah AGM Battery</t>
  </si>
  <si>
    <t>Asterion HR12-7.2 12v 7.2Ah AGM Battery</t>
  </si>
  <si>
    <t>Asterion HR12-9 12v 9Ah AGM Battery</t>
  </si>
  <si>
    <t>Asterion HR12-34W 12v 9Ah Battery</t>
  </si>
  <si>
    <t>Asterion HRL12-33X 12v 33Ah AGM Battery</t>
  </si>
  <si>
    <t>Asterion HRL12-7.2X 12v 7.2Ah AGM Battery</t>
  </si>
  <si>
    <t>Security Force SF12012 12v 1.2Ah AGM Battery</t>
  </si>
  <si>
    <t>Security Force SF12022 12v 2.2Ah AGM Battery</t>
  </si>
  <si>
    <t>Security Force SF1207 12v 7Ah AGM Battery</t>
  </si>
  <si>
    <t>Security Force SF12045 12v 4.5Ah AGM Battery</t>
  </si>
  <si>
    <t>Security Force SF12100 12v 100Ah AGM Battery</t>
  </si>
  <si>
    <t>Security Force SF1212 12v 12Ah AGM Battery</t>
  </si>
  <si>
    <t>Security Force SF1218 12v 18Ah AGM Battery</t>
  </si>
  <si>
    <t>Asterion GEL12200 12v 200Ah Battery With Built In LCD Screen</t>
  </si>
  <si>
    <t>Asterion GEL12100 12v 100Ah Battery With Built In LCD Screen</t>
  </si>
  <si>
    <t>Asterion DTS12200 12V 200Ah AGM Battery</t>
  </si>
  <si>
    <t>Mastodon F3500 12V/6V 3.5Ah Intelligent Battery Charger</t>
  </si>
  <si>
    <t>Mastodon F1000 12V/6V 1Ah Intelligent Battery Charger</t>
  </si>
  <si>
    <t>Mastodon F6000 12V/6V 6Ah Intelligent Battery Charger With LCD Screen</t>
  </si>
  <si>
    <t>Okeli 50w LED Solar Flood Light</t>
  </si>
  <si>
    <t>Okeli High Lumen Weatherproof 60w LED Outdoor Solar Flood Light With Remote</t>
  </si>
  <si>
    <t>Okeli High Lumen Weatherproof 100w LED Outdoor Solar Flood Light With Remote</t>
  </si>
  <si>
    <t>Okeli Garden Weatherproof 200w Outdoor LED Solar Flood Light With R/C</t>
  </si>
  <si>
    <t>Okeli High Lumen Weatherproof 30w LED Outdoor Solar Flood Light With Remote</t>
  </si>
  <si>
    <t>Okeli 30w LED Solar Flood Light</t>
  </si>
  <si>
    <t>Okeli 100w LED Solar Flood Light</t>
  </si>
  <si>
    <t>Makro</t>
  </si>
  <si>
    <t>Product Name</t>
  </si>
  <si>
    <t>Cost EXCL</t>
  </si>
  <si>
    <t>Cost Price:</t>
  </si>
  <si>
    <t>Selling EXCL</t>
  </si>
  <si>
    <t xml:space="preserve">Retail Price </t>
  </si>
  <si>
    <t>Makro Comm</t>
  </si>
  <si>
    <t>GP</t>
  </si>
  <si>
    <t xml:space="preserve">Stock Movement 30 days  </t>
  </si>
  <si>
    <t>Stock Movement 30 days  (Rands)</t>
  </si>
  <si>
    <t>Per Item Sold</t>
  </si>
  <si>
    <t>Leroy</t>
  </si>
  <si>
    <t>Description</t>
  </si>
  <si>
    <t>SKU</t>
  </si>
  <si>
    <t>Cost Price</t>
  </si>
  <si>
    <t xml:space="preserve">Selling Price </t>
  </si>
  <si>
    <t>Leroy Comm</t>
  </si>
  <si>
    <t>Stock Movement Past 30 Days</t>
  </si>
  <si>
    <t>Stock Movement Past 30 Days (Rands)</t>
  </si>
  <si>
    <t>BATTERY DEPO ACCOUNT STILL INACTIVE</t>
  </si>
  <si>
    <t>Notes</t>
  </si>
  <si>
    <t>IP12V18Ah</t>
  </si>
  <si>
    <t xml:space="preserve">Sealed 12V18Ah Battery </t>
  </si>
  <si>
    <t>NB‐50‐076‐10W</t>
  </si>
  <si>
    <t>Okeli High Lumen SMD Alu ip65 Waterproof 10w Outdoor (Black Lamp Cold White)Solar Panel：poly silicone 6V/4W 
22*14*1CM 
BATTERY：3.2V/2AH LI-BATTERY</t>
  </si>
  <si>
    <t>NB‐50‐076‐30W</t>
  </si>
  <si>
    <t>Okeli High Lumen SMD Alu ip65 Waterproof 30w Outdoor (Black Lamp Cold White) PANEL：poly silicone 6V/8W 
34*22*1CM 
BATTERY：3.2V/4.5AH LI-BATTERY</t>
  </si>
  <si>
    <t>NB‐50‐076‐60W</t>
  </si>
  <si>
    <t>Okeli High Lumen SMD Alu ip65 Waterproof 60w Outdoor (Black Lamp Cold White) PANEL：poly silicone 6V/15W 34-
31*1CM 
BATTERY：3.2V/9AH LI-BATTERY</t>
  </si>
  <si>
    <t>NB‐50‐076‐100W</t>
  </si>
  <si>
    <t>Okeli High Lumen SMD Alu ip65 Waterproof 100w Outdoor (Black Lamp Cold White) PANEL：poly silicone 6V/20W 41*34*1CM 
BATTERY：3.2V/13.5AH LI-BATTERY</t>
  </si>
  <si>
    <t>NB‐50‐077‐30W</t>
  </si>
  <si>
    <t>Okeli Garden Waterproof 30w Outdoor LED Solar Flood (Cold White) PANEL：poly silicone 6V/12W
350*295*17mm BIG PANEL 
BATTERY：3.2V/6AH LI-BATTERY</t>
  </si>
  <si>
    <t>NB‐50‐077‐60W</t>
  </si>
  <si>
    <t>Okeli Garden Waterproof 60w Outdoor LED Solar Flood (Cold white) PANEL：poly silicone 
6V/18W；460*350*17mm BIG PANEL 
BATTERY：3.2V/12AH LI-BATTERY</t>
  </si>
  <si>
    <t>NB‐50‐077‐100W</t>
  </si>
  <si>
    <t>Okeli Garden Waterproof 100w Outdoor LED Solar Flood (Cold White) SOLAR 
PANEL：poly silicone 
6V/25W；530*350*17mm BIG PANEL 
BATTERY：3.2V/18AH LI-BATTER</t>
  </si>
  <si>
    <t>NB‐50‐077‐200W</t>
  </si>
  <si>
    <t>Okeli Garden Waterproof 200w Outdoor LED Solar Flood (White) SOLAR 
PANEL：poly silicone 
6V/30W；610*350*17mm BIG PANEL 
BATTERY：3.2V/22AH LI-BATTERY</t>
  </si>
  <si>
    <t>NB‐50‐069‐30W</t>
  </si>
  <si>
    <t>Okeli Remote Control Die Cast Alu ip65 Waterproof 30w (cold white) Material: die-cast aluminum
Battery: Lithium iron phosphate battery 
10000mAh</t>
  </si>
  <si>
    <t>NB‐50‐069‐50W</t>
  </si>
  <si>
    <t>Okeli Remote Control Die Cast Alu ip65 Waterproof 50w (cold white) Material: die-cast aluminum
Battery: Lithium iron phosphate battery 
11500mAh</t>
  </si>
  <si>
    <t>NB‐50‐069‐100W</t>
  </si>
  <si>
    <t>Okeli Remote Control Die Cast Alu ip65 Waterproof 100w (cold white) Material: die-cast aluminum
Battery: Lithium iron phosphate battery 
13000mAh</t>
  </si>
  <si>
    <t>LY-HL-SKLL-X-BL</t>
  </si>
  <si>
    <t>7" led headlight
black</t>
  </si>
  <si>
    <t>Check Stock</t>
  </si>
  <si>
    <t>LY-DOT7-001(SD)</t>
  </si>
  <si>
    <t>7" spider led headlight
black</t>
  </si>
  <si>
    <t>LY-DOT7-002(SD)</t>
  </si>
  <si>
    <t>7" spider led headlight
amber white halo
black</t>
  </si>
  <si>
    <t>LY-5.75"-SD</t>
  </si>
  <si>
    <t>5.75" spider led headlight
black</t>
  </si>
  <si>
    <t>LY-HL-001-X</t>
  </si>
  <si>
    <t>LY-HL-002-X</t>
  </si>
  <si>
    <t>7" led headlight
amber white halo
black</t>
  </si>
  <si>
    <t>LY-7''-2G-004</t>
  </si>
  <si>
    <t>LY-7''-2G-005</t>
  </si>
  <si>
    <t>LY-4.5''-0030B-X</t>
  </si>
  <si>
    <t>4.5" fog light
black</t>
  </si>
  <si>
    <t>SKULL LED DAYMAKER ROUND 7" HEADLIGHTS PAIR</t>
  </si>
  <si>
    <t>PSM6GCC</t>
  </si>
  <si>
    <t>85MM MECHANICAL CLASSIC SPEEDOMETER /ELETRICAL CLASSIC TACHOMETER 8，000RPM AND 52MM CLASSIC FUEL LEVEL /OIL PRESSURE /WATER TEMP /VOLT GAUGES 8-16V ， WHITE FACE &amp; CHROME RIM</t>
  </si>
  <si>
    <t>PSM6GCC-B</t>
  </si>
  <si>
    <t>85MM MECHANICAL CLASSIC SPEEDOMETER /ELETRICAL CLASSIC TACHOMETER 8，000RPM AND 52MM CLASSIC FUEL LEVEL /OIL PRESSURE /WATER TEMP /VOLT GAUGES 8-16V， BLACK FACE， WHITE NEEDLE</t>
  </si>
  <si>
    <t>PSM6GCC-WB</t>
  </si>
  <si>
    <t>85MM MECHANICAL CLASSIC SPEEDOMETER /ELETRICAL CLASSIC TACHOMETER 8，000RPM AND 52MM CLASSIC FUEL LEVEL /OIL PRESSURE /WATER TEMP /VOLT GAUGES 8-16V ， WHITE FACE &amp; CHROME RIM &amp; BLACK NEEDLES</t>
  </si>
  <si>
    <t>PSM6GCC-RW</t>
  </si>
  <si>
    <t>85MM MECHANICAL CLASSIC SPEEDOMETER /ELETRICAL CLASSIC TACHOMETER 8，000RPM AND 52MM CLASSIC FUEL LEVEL /OIL PRESSURE /WATER TEMP /VOLT GAUGES 8-16V ， RED FACE &amp; CHROME RIM &amp; WHITE NEEDLES</t>
  </si>
  <si>
    <t>PSM6GCC-GW</t>
  </si>
  <si>
    <t>85MM MECHANICAL CLASSIC SPEEDOMETER /ELETRICAL CLASSIC TACHOMETER 8，000RPM AND 52MM CLASSIC FUEL LEVEL /OIL PRESSURE /WATER TEMP /VOLT GAUGES 8-16V ， GREEN FACE &amp; CHROME RIM &amp; WHITE NEEDLES</t>
  </si>
  <si>
    <t>PSSW6GCC-B</t>
  </si>
  <si>
    <t>SW SERIES 85MM ELECTRICAL SPEEDOMETER 0-200kmh /ELECTRICAL TACHOMETER 0-8000RPM AND SW SERIES 52MM FUEL LEVEL 240-33OHM WITH FLOAT/ OIL PRESSURE 0-10BAR(PSI/BAR) WITH SENSOR/WATER TEMP WITH SENSOR/ VOLT GAUGES 8-16V，BLACK FACE &amp; CHROME RIM</t>
  </si>
  <si>
    <t>PSSW6GCC-W</t>
  </si>
  <si>
    <t>SW SERIES 85MM ELECTRICAL SPEEDOMETER 0-200kmh /ELECTRICAL TACHOMETER 0-8000RPM AND SW SERIES 52MM FUEL LEVEL 240-33OHM WITH FLOAT/ OIL PRESSURE 0-10BAR(PSI/BAR) WITH SENSOR/WATER TEMP WITH SENSOR/ VOLT GAUGES 8-16V，WHITE FACE &amp; CHROME RIM</t>
  </si>
  <si>
    <t>216SWVOT-BBB</t>
  </si>
  <si>
    <t>52MM SW SERIES VOLT GAUGE(8-16V) &amp; OIL PRESSURE GAUGE 0-10BAR(BAR/PSI) WTIH SENSOR &amp; WATER TEMPERATURE GAUGE WITH SENSOR (BLACK FACE &amp; BLACK RIM &amp; BLACK PLATE )</t>
  </si>
  <si>
    <t>PSGPSCV</t>
  </si>
  <si>
    <t>GPS SENSOR AND GPS CONVERTER ACCESSORIES SET FOR SPEEDOMETER USE</t>
  </si>
  <si>
    <t>NO.94</t>
  </si>
  <si>
    <t>FUEL TANK FLOAT 240/33OHM</t>
  </si>
  <si>
    <t>BT-SGS-B</t>
  </si>
  <si>
    <t>TERMINAL H/D PAIR</t>
  </si>
  <si>
    <t>BT-DNP-B</t>
  </si>
  <si>
    <t>TERMINAL L/D PAIR</t>
  </si>
  <si>
    <t>BAC-HQT</t>
  </si>
  <si>
    <t>BATTERY REPAIR KIT BAC-HQT</t>
  </si>
  <si>
    <t>BT-NP-B</t>
  </si>
  <si>
    <t>JL-JCAL-3M</t>
  </si>
  <si>
    <t>H/DUTY BOOSTER 3M</t>
  </si>
  <si>
    <t>JL-CAL-3M</t>
  </si>
  <si>
    <t>BOOSTER CABLE KIT 20SQ</t>
  </si>
  <si>
    <t>BT-DGX-L</t>
  </si>
  <si>
    <t>TERMINAL CONVERSION</t>
  </si>
  <si>
    <t>BA-ED10</t>
  </si>
  <si>
    <t>H/DUTY CLAMPS</t>
  </si>
  <si>
    <t>JL-XAL-3M</t>
  </si>
  <si>
    <t>BOOSTER CABLE 3M 10SQ</t>
  </si>
  <si>
    <t>BT-KG-B</t>
  </si>
  <si>
    <t>BATTERY DISCONNCT TERMINAL</t>
  </si>
  <si>
    <t>BAC-ZJA</t>
  </si>
  <si>
    <t>HOLD DOWN KIT</t>
  </si>
  <si>
    <t>VENDOR LIST - SMART CHARGERS</t>
  </si>
  <si>
    <t>VENDOR - STORE</t>
  </si>
  <si>
    <t>NO. OF STORES</t>
  </si>
  <si>
    <t>CONTACT NAME</t>
  </si>
  <si>
    <t>CONTACT NO.</t>
  </si>
  <si>
    <t>CONTACT EMAIL</t>
  </si>
  <si>
    <t>HEAD OFFICE / ADDRESS</t>
  </si>
  <si>
    <t>DOCUMENTS</t>
  </si>
  <si>
    <t>BUSINESS INFO</t>
  </si>
  <si>
    <t>COMMENTS</t>
  </si>
  <si>
    <t>VENDOR REGISTARTION LINK</t>
  </si>
  <si>
    <t>HARDWARE STORES</t>
  </si>
  <si>
    <t>Adendorff</t>
  </si>
  <si>
    <t>011 434 7000</t>
  </si>
  <si>
    <t>customercare@adendorff.co.za</t>
  </si>
  <si>
    <t>98 Sailor Malan Ave, Aeroton
Johannesburg, 2013</t>
  </si>
  <si>
    <t>Mailed</t>
  </si>
  <si>
    <t>Leroy Merlin Stores</t>
  </si>
  <si>
    <t>22 Makro stores trade in South Africa</t>
  </si>
  <si>
    <t xml:space="preserve">011 797 0000 </t>
  </si>
  <si>
    <t>makrocare@makro.co.za</t>
  </si>
  <si>
    <t>16 Peltier Dr, Sunninghill, Sandton, 2157</t>
  </si>
  <si>
    <t>Mailed / Call National Buying Team</t>
  </si>
  <si>
    <t>https://www.makromarketplace.co.za/views/Landing/index.aspx</t>
  </si>
  <si>
    <t>Builders Warehouse</t>
  </si>
  <si>
    <t>34 Builders Warehouse stores in South Africa</t>
  </si>
  <si>
    <t>012 806 7549</t>
  </si>
  <si>
    <t>info@builders.co.za</t>
  </si>
  <si>
    <t>389 St Joseph Ave, Eersterust Alberton, Sandton, 2157</t>
  </si>
  <si>
    <t>Sign in Password 1968Cuda! Mail Catalog</t>
  </si>
  <si>
    <t>Mailed / Relevant department to contact me</t>
  </si>
  <si>
    <t>Chamberlains</t>
  </si>
  <si>
    <t> 012 356 9500</t>
  </si>
  <si>
    <t>info@fhchamberlain.co.za</t>
  </si>
  <si>
    <t>230 15th Avenue
Riviera, Pretoria
0084</t>
  </si>
  <si>
    <t>PARTS / SPARES</t>
  </si>
  <si>
    <t>Motus Corporation</t>
  </si>
  <si>
    <t>25 Branches</t>
  </si>
  <si>
    <t>(011) 879 6000</t>
  </si>
  <si>
    <t>info@motusparts.co.za</t>
  </si>
  <si>
    <t>2 Gordon Ave, Linbro Park AH, Sandton, 2090</t>
  </si>
  <si>
    <t>Aftermarket Parts Div.</t>
  </si>
  <si>
    <t>Owns: Midas, Alert Engine Parts, Beekman, Motolek, Auto Care &amp; Diagnostics, ADCO, Silverton Radiators</t>
  </si>
  <si>
    <t>Midas</t>
  </si>
  <si>
    <t>300 Stores in Southern Africa</t>
  </si>
  <si>
    <t> 086 036 7463</t>
  </si>
  <si>
    <t>customercare@midas.co.za</t>
  </si>
  <si>
    <t>Mailed / Jason Groove has a contact at Midas</t>
  </si>
  <si>
    <t>Alert Engine Parts</t>
  </si>
  <si>
    <t>16 branches </t>
  </si>
  <si>
    <t> (021) 590 8250</t>
  </si>
  <si>
    <t>services@alert.co.za</t>
  </si>
  <si>
    <t>279 Voortrekker Road
Goodwood Western Cape 7459</t>
  </si>
  <si>
    <t>Motolek</t>
  </si>
  <si>
    <t xml:space="preserve"> 40 Franchises country-wide</t>
  </si>
  <si>
    <t>(011)879600</t>
  </si>
  <si>
    <t>Verensia.Vermaak@Motusparts.co.za</t>
  </si>
  <si>
    <t>2 GORDON AVENUE, MEADOWVIEW BUSINESS ESTATE, LINBRO PARK, GAUTENG, 2090</t>
  </si>
  <si>
    <t>Auto Care and Diagnostics</t>
  </si>
  <si>
    <t>50 franchises</t>
  </si>
  <si>
    <t>hugo.grobler@motusparts.co.za</t>
  </si>
  <si>
    <t>442 Pretoria Street,
C/O Republic Street,
Silverton,</t>
  </si>
  <si>
    <t>ADCO</t>
  </si>
  <si>
    <t>20 franchises</t>
  </si>
  <si>
    <t> (011) 879 6000</t>
  </si>
  <si>
    <t>CBS </t>
  </si>
  <si>
    <t>Silverton Radiators</t>
  </si>
  <si>
    <t>(Motus) Retail Stores</t>
  </si>
  <si>
    <t>41 Branches</t>
  </si>
  <si>
    <t>(Motus) Franchise Stores</t>
  </si>
  <si>
    <t>556 Branches</t>
  </si>
  <si>
    <t>NAPA (part of Motus)</t>
  </si>
  <si>
    <t>info@napa.co.za</t>
  </si>
  <si>
    <t>SA, Namibia, Mozambique, Lesotho</t>
  </si>
  <si>
    <t>Bulk Buying &amp; Marketing</t>
  </si>
  <si>
    <t>Look after Midas as well.</t>
  </si>
  <si>
    <t>Autozone</t>
  </si>
  <si>
    <t> 214 retail branches</t>
  </si>
  <si>
    <t>011 620 2700</t>
  </si>
  <si>
    <t>086 112 2111</t>
  </si>
  <si>
    <t>Customer.care@autozone.co.za</t>
  </si>
  <si>
    <t>111 Mimetes Rd, Denver, Johannesburg 2094</t>
  </si>
  <si>
    <t>Naskar Spares</t>
  </si>
  <si>
    <t>012 804 1000</t>
  </si>
  <si>
    <t>sales@naskar.co.za</t>
  </si>
  <si>
    <t>473 Pretoria Road, Silverton</t>
  </si>
  <si>
    <t>Goldwagen</t>
  </si>
  <si>
    <t>012 748 3800</t>
  </si>
  <si>
    <t>info@goldwagen.com</t>
  </si>
  <si>
    <t>Logistics Park, Pudding Stone Rd, Louwlardia, Centurion, 0121</t>
  </si>
  <si>
    <t>Parts Boyz /  Spares Boyz</t>
  </si>
  <si>
    <t>2 Branches</t>
  </si>
  <si>
    <t> 031 579 6290</t>
  </si>
  <si>
    <t>sales@partsboyz.co.za</t>
  </si>
  <si>
    <t>Durban</t>
  </si>
  <si>
    <t>Buss Containers as well</t>
  </si>
  <si>
    <t>ACE Auto Scrapyard / Hardware</t>
  </si>
  <si>
    <t>3 Branches</t>
  </si>
  <si>
    <t>(011) 811-5855</t>
  </si>
  <si>
    <t>contact@aceauto.co.za</t>
  </si>
  <si>
    <t>4th Avenue Geduld Springs</t>
  </si>
  <si>
    <t>Car Parts &amp; Batteries</t>
  </si>
  <si>
    <t>Master Parts</t>
  </si>
  <si>
    <t>8 Branches</t>
  </si>
  <si>
    <t>021 841 5757</t>
  </si>
  <si>
    <t>021 957 5757</t>
  </si>
  <si>
    <t xml:space="preserve">Western Cape / KZN / Namibia </t>
  </si>
  <si>
    <t>Online &amp; Stores</t>
  </si>
  <si>
    <t>Grandmark International</t>
  </si>
  <si>
    <t>12 Wholesalers across SA</t>
  </si>
  <si>
    <t>011 226 9000</t>
  </si>
  <si>
    <t>info@grandmark.co.za</t>
  </si>
  <si>
    <t>26 Genesis Boulevard
Crown Mines
Johannesburg</t>
  </si>
  <si>
    <t>Automotive Aftermarket Parts</t>
  </si>
  <si>
    <t>Enertec Batteries part of Grandmark???</t>
  </si>
  <si>
    <t>Danny's Automotive</t>
  </si>
  <si>
    <t>011 682 5600</t>
  </si>
  <si>
    <t>orders@dannysauto.co.za
customercare@dannysauto.co.za</t>
  </si>
  <si>
    <t>77 Marlborough Road</t>
  </si>
  <si>
    <t>Afatermarket Motorspares</t>
  </si>
  <si>
    <t>Strictly Wholesale</t>
  </si>
  <si>
    <t>MIT Auto Parts</t>
  </si>
  <si>
    <t>4 Branches</t>
  </si>
  <si>
    <t>+27(0)11 610 7600</t>
  </si>
  <si>
    <t>sales@mitautoparts.co.za</t>
  </si>
  <si>
    <t>Gosforth Business Park
cnr Silverstone Road and Van Riebeeck Ave.</t>
  </si>
  <si>
    <t>50 000m2 Warehouse Space</t>
  </si>
  <si>
    <t>Gaydons Motor Spares SA</t>
  </si>
  <si>
    <t>(+27) 31 319 4000</t>
  </si>
  <si>
    <t>info@gaydons.co.za</t>
  </si>
  <si>
    <t>63 Milne Street
Durban 4001
South AfricaT</t>
  </si>
  <si>
    <t>One Stop Shop</t>
  </si>
  <si>
    <t>Partquip</t>
  </si>
  <si>
    <t>011 634 7600</t>
  </si>
  <si>
    <t>info@partquipgroup.co.za </t>
  </si>
  <si>
    <t>61 Trump Street West, Selby, Johannesburg, 2091</t>
  </si>
  <si>
    <t>CAR SERVICING &amp; TYRE'S</t>
  </si>
  <si>
    <t>Tiger Wheel &amp; Tyre</t>
  </si>
  <si>
    <t>Louis Jordaan</t>
  </si>
  <si>
    <t>011 822 1680</t>
  </si>
  <si>
    <t>Corner K101 &amp; Old Pretoria Road, Midrand</t>
  </si>
  <si>
    <t>Mailed / Call Louis</t>
  </si>
  <si>
    <t>Supaquick</t>
  </si>
  <si>
    <t>220 Branches</t>
  </si>
  <si>
    <t>Stock Batteries</t>
  </si>
  <si>
    <t>Tyre's &amp; More</t>
  </si>
  <si>
    <t>36 Branches</t>
  </si>
  <si>
    <t>Malas</t>
  </si>
  <si>
    <t>012 357 7700</t>
  </si>
  <si>
    <t>sales@malas.co.za</t>
  </si>
  <si>
    <t>37 Visagie Cnr Kgosi Mampuru Str &amp; Potgieter Street, Pretoria, Gauteng</t>
  </si>
  <si>
    <t>Car Service City</t>
  </si>
  <si>
    <t>60 Branches</t>
  </si>
  <si>
    <t>E-Car Vehicle Service &amp; Repair</t>
  </si>
  <si>
    <t>SA, Lesotho, Namibia, Swaziland</t>
  </si>
  <si>
    <t>Repair, Service &amp; Roadside Assistance</t>
  </si>
  <si>
    <t>Auto-Mate Service Centre</t>
  </si>
  <si>
    <t>10 Branches</t>
  </si>
  <si>
    <t>Gauteng</t>
  </si>
  <si>
    <t>Comic Warehouse</t>
  </si>
  <si>
    <t>DEALERSHIPS / NEW &amp; USED VEHICLE'S</t>
  </si>
  <si>
    <t>We Buy Cars</t>
  </si>
  <si>
    <t>Centurion, Midstream Branch</t>
  </si>
  <si>
    <t>Auto Pedigree</t>
  </si>
  <si>
    <t>70 Branches</t>
  </si>
  <si>
    <t>Over 5000 vehicles avb.</t>
  </si>
  <si>
    <t>CMH Motor Group</t>
  </si>
  <si>
    <t xml:space="preserve">Dealerships </t>
  </si>
  <si>
    <t>Inspecta Car</t>
  </si>
  <si>
    <t>26 Franchises Countrywide</t>
  </si>
  <si>
    <t>BB Motor Group</t>
  </si>
  <si>
    <t>7 Branches</t>
  </si>
  <si>
    <t>Arnold Du Plessis CEO</t>
  </si>
  <si>
    <t>Dealerships</t>
  </si>
  <si>
    <t>MIT Mak Group</t>
  </si>
  <si>
    <t>Bobby Petkon</t>
  </si>
  <si>
    <t>650 +- Stock</t>
  </si>
  <si>
    <t xml:space="preserve">DEALERSHIPS / ACCESSORIES &amp; BIKER STORES - MOTORCYCLE </t>
  </si>
  <si>
    <t>300 Plus Motorcycle Shop</t>
  </si>
  <si>
    <t>+27 (0) 65 365 1362</t>
  </si>
  <si>
    <t>info@300plus.co.za</t>
  </si>
  <si>
    <t>146 Akkerboom St,
Zwartkop,
Centurion,
0051</t>
  </si>
  <si>
    <t>Bavarian Motor Cycles</t>
  </si>
  <si>
    <t>012 643 1680</t>
  </si>
  <si>
    <t>bavarian@bavarianmc.co.za</t>
  </si>
  <si>
    <t>Cnr John Vorster Dr &amp;, Akkerboom St, Zwartkop, Centurion, 0157</t>
  </si>
  <si>
    <t>BMW</t>
  </si>
  <si>
    <t>BB Zambesi Auto - Honda</t>
  </si>
  <si>
    <t> 012 523 9500</t>
  </si>
  <si>
    <t>1101 Sefako Makgatho Dr &amp;, Visvanger Rd, Montana Park, Pretoria, 0159</t>
  </si>
  <si>
    <t>Bid Boy Wierdapark</t>
  </si>
  <si>
    <t>012 654 8143</t>
  </si>
  <si>
    <t>info@jonway.co.za</t>
  </si>
  <si>
    <t>285 Chris Hougaard St, Wierdapark, Centurion, 0157</t>
  </si>
  <si>
    <t>Big Boy Fourways</t>
  </si>
  <si>
    <t> 011 467 1284</t>
  </si>
  <si>
    <t>info@bigboyfourways.co.za</t>
  </si>
  <si>
    <t>Fourways Junction, White Hills Close, Lonehill,</t>
  </si>
  <si>
    <t>Big Boy Gezina</t>
  </si>
  <si>
    <t>012 329 0965</t>
  </si>
  <si>
    <t>Cnr Flower and, Steve Biko Rd, Capital Park, Pretoria,</t>
  </si>
  <si>
    <t>Big Boy Perfect Bikes</t>
  </si>
  <si>
    <t>012 809 2026</t>
  </si>
  <si>
    <t>perfectbikes1@gmail.com</t>
  </si>
  <si>
    <t>921 The Yard
Lynnwood Road
Wapadrand</t>
  </si>
  <si>
    <t>Big Boy Randburg</t>
  </si>
  <si>
    <t>Randburg</t>
  </si>
  <si>
    <t>Big Z Moto</t>
  </si>
  <si>
    <t>MagaliesKruin, PTA</t>
  </si>
  <si>
    <t>Bike Crazy</t>
  </si>
  <si>
    <t>012 335 9035        </t>
  </si>
  <si>
    <t>012 335 3953</t>
  </si>
  <si>
    <t>mail@bikecrazy.co.za  </t>
  </si>
  <si>
    <t>1055 Steve Biko Road, Wonderboom South, Pretoria</t>
  </si>
  <si>
    <t>Bikeman SA</t>
  </si>
  <si>
    <t>Deon</t>
  </si>
  <si>
    <t>+27(0)837748553</t>
  </si>
  <si>
    <t>+27(0)125433121</t>
  </si>
  <si>
    <t>deon@bikeman.co.za</t>
  </si>
  <si>
    <t>123 Sefako Makgatho Drive (Old Zambesi Drive), Sinoville, Pretoria</t>
  </si>
  <si>
    <t>Bike Mania PTA East</t>
  </si>
  <si>
    <t>082 526 4338</t>
  </si>
  <si>
    <t>pdebastos@gmail.com</t>
  </si>
  <si>
    <t>19 DELY ROAD
HAZELWOOD
PRETORIA</t>
  </si>
  <si>
    <t>Bike Sense</t>
  </si>
  <si>
    <t>083 958 4482</t>
  </si>
  <si>
    <t>208 Howard St, Pretoria North, Pretoria, 0182</t>
  </si>
  <si>
    <t>Bike Kings</t>
  </si>
  <si>
    <t>+27 12 271 0071</t>
  </si>
  <si>
    <t>+27 12 271 0070</t>
  </si>
  <si>
    <t>sales@bikekings.co.za</t>
  </si>
  <si>
    <t>Pta / Rivonia (Fire It Up!)</t>
  </si>
  <si>
    <t>Bike and Bikerwarehouse</t>
  </si>
  <si>
    <t>082 655 6381</t>
  </si>
  <si>
    <t>599 Paul Kruger str
Eloffsdal
Pretoria
0084</t>
  </si>
  <si>
    <t>Bikers Warehouse</t>
  </si>
  <si>
    <t>+27 (0)11 795 4122</t>
  </si>
  <si>
    <t>sales@bikerswarehouse.co.za</t>
  </si>
  <si>
    <t>1 Aureole Avenue, Northriding, Johannesburg</t>
  </si>
  <si>
    <t>BikersPartsOnline - Used</t>
  </si>
  <si>
    <t>Midrand</t>
  </si>
  <si>
    <t>Bikeshop Boksburg</t>
  </si>
  <si>
    <t>Jannie</t>
  </si>
  <si>
    <t>011 918 7777</t>
  </si>
  <si>
    <t>jannie@bikeshopboksburg.co.za</t>
  </si>
  <si>
    <t>122 North Rand Rd, Eveleigh, Boksburg</t>
  </si>
  <si>
    <t>Bikeshop Rivonia</t>
  </si>
  <si>
    <t>James</t>
  </si>
  <si>
    <t>011 918 6666</t>
  </si>
  <si>
    <t>076 827 9676</t>
  </si>
  <si>
    <t>james@bikeshoprivonia.co.za</t>
  </si>
  <si>
    <t>5 Achter Rd, Paulshof, Sandton, 2191</t>
  </si>
  <si>
    <t>Bikestyle Centurion</t>
  </si>
  <si>
    <t>Lester</t>
  </si>
  <si>
    <t>012 653 1331</t>
  </si>
  <si>
    <t>lester@bikestyle.org.za</t>
  </si>
  <si>
    <t>61 Tobie St, Hennopspark, Centurion, 0157</t>
  </si>
  <si>
    <t>Biking Accessories</t>
  </si>
  <si>
    <t>Brandon</t>
  </si>
  <si>
    <t>+27(0) 12 342 7474</t>
  </si>
  <si>
    <t>+27 (0)82 373 5183</t>
  </si>
  <si>
    <t>info@bikingaccessories.co.za</t>
  </si>
  <si>
    <t>1212 Pretorius Street
Hatfield, Pretoria
South Africa</t>
  </si>
  <si>
    <t>BMW Motorrad Montana</t>
  </si>
  <si>
    <t>zambesiauto@bmwdealer.co.za</t>
  </si>
  <si>
    <t>Cnr Sefako Makgatho Dr &amp;, Breed St 1234
0159 Montana, Pretoria</t>
  </si>
  <si>
    <t>CMH Honda</t>
  </si>
  <si>
    <t> 012 470 9200</t>
  </si>
  <si>
    <t> leadmaster74@cmh.co.za</t>
  </si>
  <si>
    <t>c/o January Masilela and Garsfontein</t>
  </si>
  <si>
    <t>CIT Motorcycles</t>
  </si>
  <si>
    <t>Marlene</t>
  </si>
  <si>
    <t>012 342 8571</t>
  </si>
  <si>
    <t>082 067 9087</t>
  </si>
  <si>
    <t>leads.teamcit@gmail.com</t>
  </si>
  <si>
    <t>1222 Pretorius St, Hatfield, Pretoria, 0028</t>
  </si>
  <si>
    <t>Cytech Motorcycles</t>
  </si>
  <si>
    <t>(011) 433 8850</t>
  </si>
  <si>
    <t xml:space="preserve"> info@cytechmotorcycles.co.za</t>
  </si>
  <si>
    <t>61 Port Road
Robertsham
Johannesburg
2091</t>
  </si>
  <si>
    <t>DSD Customs</t>
  </si>
  <si>
    <t> 079 505 9839</t>
  </si>
  <si>
    <t>1177 Starkey Ave, Waverley, Pretoria, 0135</t>
  </si>
  <si>
    <t>D + E Motorcycles</t>
  </si>
  <si>
    <t>012 800 3271</t>
  </si>
  <si>
    <t>85 Baviaanspoort Rd, East Lynne, Pretoria, 0002</t>
  </si>
  <si>
    <t>De Beers Choppers</t>
  </si>
  <si>
    <t>081 510 1280</t>
  </si>
  <si>
    <t>653 Skukuza St, Faerie Glen, Pretoria, 0081</t>
  </si>
  <si>
    <t>DMC Motorcycles</t>
  </si>
  <si>
    <t>082 373 2511</t>
  </si>
  <si>
    <t>197 Bram Fischer Dr, Kensington B, Randburg, 2194</t>
  </si>
  <si>
    <t>Dream Adventure Motorcycles</t>
  </si>
  <si>
    <t>Mark Dickinson</t>
  </si>
  <si>
    <t>084 440 9110</t>
  </si>
  <si>
    <t>Montana Value Centre, 59C Calliandra St, Montana Park, Pretoria, 0182</t>
  </si>
  <si>
    <t>World of Motorcycles - Ducati</t>
  </si>
  <si>
    <t>+27 12 765 0600</t>
  </si>
  <si>
    <t>sales@ducati.co.za</t>
  </si>
  <si>
    <t>World of Motorcycles 146 Akkerboom Street, Centurion</t>
  </si>
  <si>
    <t>Dyno By Quint</t>
  </si>
  <si>
    <t>011 609 9275</t>
  </si>
  <si>
    <t>dyno2@telkomsa.net</t>
  </si>
  <si>
    <t xml:space="preserve"> Shop 115 Van Riebeeck Ave, Edenvale, Johannesburg,</t>
  </si>
  <si>
    <t>Easy Rider Motorcylces - Harleys</t>
  </si>
  <si>
    <t>(012) 543 1722</t>
  </si>
  <si>
    <t>info@eazy-rider.com</t>
  </si>
  <si>
    <t>221 Sefako Makgatho Drive, Sinoville, Pretoria, South Africa</t>
  </si>
  <si>
    <t>Fire It Up!</t>
  </si>
  <si>
    <t>Oliver</t>
  </si>
  <si>
    <t>(011) 467 0737</t>
  </si>
  <si>
    <t>bikekings@fireitup.co.za</t>
  </si>
  <si>
    <t>1 Halifax St
Bryanston, Sandton
2191</t>
  </si>
  <si>
    <t>GPS 4 Africa CC - Parts</t>
  </si>
  <si>
    <t>Centurion</t>
  </si>
  <si>
    <t>Gravilpit Motorcycles</t>
  </si>
  <si>
    <t>082 943 8977</t>
  </si>
  <si>
    <t>enquiry@gravelpit.co.za</t>
  </si>
  <si>
    <t>346 Calliandra St, Montana, Pretoria, 0182</t>
  </si>
  <si>
    <t>Guts &amp; Gas Motorcycle Accessories</t>
  </si>
  <si>
    <t>Heaths Off-Road</t>
  </si>
  <si>
    <t>072 611 9545</t>
  </si>
  <si>
    <t>heathsoffroad@gmail.com</t>
  </si>
  <si>
    <t>34 Banghoek Cresent, The Willows 340-Jr, Pretoria, 0081</t>
  </si>
  <si>
    <t>Honda Sandton</t>
  </si>
  <si>
    <t>Sandton</t>
  </si>
  <si>
    <t>Honda Wings Centurion</t>
  </si>
  <si>
    <t>House Of Bikes</t>
  </si>
  <si>
    <t>082 335 7368</t>
  </si>
  <si>
    <t>Shop 121, Tshwane China Mall, Derdepoort, Pretoria, 0186</t>
  </si>
  <si>
    <t>Jack &amp; Charlies Heritage Bike Parlour</t>
  </si>
  <si>
    <t>Moreletta Park, PTA</t>
  </si>
  <si>
    <t>Victorys &amp; Vtwins</t>
  </si>
  <si>
    <t>Kawasaki Centurion</t>
  </si>
  <si>
    <t>KCR Motorcycle Fanatix</t>
  </si>
  <si>
    <t>011 975 5545</t>
  </si>
  <si>
    <t>011 975 5405</t>
  </si>
  <si>
    <t>kcrcycle@mweb.co.za</t>
  </si>
  <si>
    <t>20 Albatros Road,
Kempton Park</t>
  </si>
  <si>
    <t>Krugers - We Buy Bikes</t>
  </si>
  <si>
    <t>Roodeplaat, PTA</t>
  </si>
  <si>
    <t>KTM Centurion</t>
  </si>
  <si>
    <t>KTM Pretoria</t>
  </si>
  <si>
    <t>Hatfield</t>
  </si>
  <si>
    <t>Linex Yamaha Lynnwood</t>
  </si>
  <si>
    <t>Paul</t>
  </si>
  <si>
    <t>(012) 501 0120</t>
  </si>
  <si>
    <t>paulk@linex.co.za</t>
  </si>
  <si>
    <t>Cnr Lynnwood Rd and, Simon Vermooten Rd, Die Wilgers, Pretoria, 0183</t>
  </si>
  <si>
    <t>Linex Yamaha Randburg</t>
  </si>
  <si>
    <t>Gareth</t>
  </si>
  <si>
    <t>(011) 251 4000</t>
  </si>
  <si>
    <t>garethd@yamaha.co.za</t>
  </si>
  <si>
    <t>Cnr. Malibongwe Drive &amp; Tungsten Road,
Commercial Park, 2169 Randburg</t>
  </si>
  <si>
    <t>Moto-Netix - Polaris</t>
  </si>
  <si>
    <t>Moto Mate Rivonia</t>
  </si>
  <si>
    <t>011 234 5274</t>
  </si>
  <si>
    <t>011 234 5275</t>
  </si>
  <si>
    <t>sales@motomate.co.za</t>
  </si>
  <si>
    <t>Moto Mate Edenvale</t>
  </si>
  <si>
    <t>011 027 0547</t>
  </si>
  <si>
    <t>011 027 0545</t>
  </si>
  <si>
    <t>stoneridge@motomate.co.za</t>
  </si>
  <si>
    <t>Moto Mate Boksburg</t>
  </si>
  <si>
    <t>011 027 1244</t>
  </si>
  <si>
    <t>011 025 8272</t>
  </si>
  <si>
    <t>boksburg@motomate.co.za</t>
  </si>
  <si>
    <t>Moto Mate Clearance</t>
  </si>
  <si>
    <t>Motus Honda East Rand</t>
  </si>
  <si>
    <t>Boksburg</t>
  </si>
  <si>
    <t>Offroad Cycles</t>
  </si>
  <si>
    <t>087 808 3649</t>
  </si>
  <si>
    <t> 082 823 4714</t>
  </si>
  <si>
    <t>info@offroadcycles.co.za</t>
  </si>
  <si>
    <t>22 Blesbok Ave, Pretoria
Koedoespoort, 0186
South Africa</t>
  </si>
  <si>
    <t>OMG - Online Motorcycle Gear</t>
  </si>
  <si>
    <t>064 582 1197</t>
  </si>
  <si>
    <t>johann@onlinemotorcyclegear.co.za</t>
  </si>
  <si>
    <t>Silverton, PTA</t>
  </si>
  <si>
    <t>Performance Technic</t>
  </si>
  <si>
    <t>Perrys Wheels on Fire</t>
  </si>
  <si>
    <t>Mountain View, PTA</t>
  </si>
  <si>
    <t>Pitstop Motorcycles</t>
  </si>
  <si>
    <t>Pocket Mania SA</t>
  </si>
  <si>
    <t>Montain View, PTA</t>
  </si>
  <si>
    <t>Pretoria Bike Repairs</t>
  </si>
  <si>
    <t>Wonderboom South, PTA</t>
  </si>
  <si>
    <t>Pretoria Yamaha</t>
  </si>
  <si>
    <t>Arno Reitz</t>
  </si>
  <si>
    <t>+27(0)82 853 6174</t>
  </si>
  <si>
    <t>+27(0)12 751 0830</t>
  </si>
  <si>
    <t>arno6412@gmail.com</t>
  </si>
  <si>
    <t>Corner Sefako Makgatho Drive &amp; Dr Swanepoel Road, Montana, Pretoria</t>
  </si>
  <si>
    <t>Primrose Motorcycles</t>
  </si>
  <si>
    <t> (011) 828-9091</t>
  </si>
  <si>
    <t>0646884510</t>
  </si>
  <si>
    <t>enquiries@primrose.co.za</t>
  </si>
  <si>
    <t>152 Rietfontein Road, Primrose,
Gauteng, South Africa, 1401</t>
  </si>
  <si>
    <t>Puzey Motor Corporation</t>
  </si>
  <si>
    <t> +27 (0)11 795 4122</t>
  </si>
  <si>
    <t>sales@puzey.co.za</t>
  </si>
  <si>
    <t>1 Aureole Avenue, Northriding, Johannesburg, 2169</t>
  </si>
  <si>
    <t>PTA North Bike Tyre</t>
  </si>
  <si>
    <t>Pretoria North</t>
  </si>
  <si>
    <t>RPM Race Preperation</t>
  </si>
  <si>
    <t>Louis van Bergen</t>
  </si>
  <si>
    <t>012 342 6994</t>
  </si>
  <si>
    <t>1212 Pretorius St, Hatfield, Pretoria, 0028</t>
  </si>
  <si>
    <t>Race Screen Technology</t>
  </si>
  <si>
    <t>Race Shop Gauteng</t>
  </si>
  <si>
    <t>Witkoppen, Fourways</t>
  </si>
  <si>
    <t>RAD_KTM</t>
  </si>
  <si>
    <t>011 234 5007</t>
  </si>
  <si>
    <t>info@radmoto.co.za</t>
  </si>
  <si>
    <t>1 Wall street, Corner Rivonia &amp; Witkoppen Road, Sandton, 2157</t>
  </si>
  <si>
    <t>Randburg Motorcycles</t>
  </si>
  <si>
    <t>011 792 6829</t>
  </si>
  <si>
    <t>011 792 4523</t>
  </si>
  <si>
    <t>info@randburgmotorcycles.co.za</t>
  </si>
  <si>
    <t>3 Rabie Street
Fontainebleau
(CNR Rabie &amp; Malibongwe
Next to Randburg Medicross)
Randburg 2194</t>
  </si>
  <si>
    <t xml:space="preserve">Reconstructed </t>
  </si>
  <si>
    <t>Kawasaki &amp; Triumph</t>
  </si>
  <si>
    <t>Rumbux Motorcycle Parts</t>
  </si>
  <si>
    <t>RSA Moto</t>
  </si>
  <si>
    <t>012 663 1864</t>
  </si>
  <si>
    <t>info@rsamoto.co.za</t>
  </si>
  <si>
    <t>49F7+3G Grootfontein Country Estate, 0081</t>
  </si>
  <si>
    <t>SA Motorcycles</t>
  </si>
  <si>
    <t>011 794 6399</t>
  </si>
  <si>
    <t>Southern African Motorcycles Head Office
Cnr. Steyn &amp; Dorethy Rd.
Rietvallei Farm, Muldersdrift, 1739</t>
  </si>
  <si>
    <t>Scott Motorcycle's</t>
  </si>
  <si>
    <t>Grant Scott</t>
  </si>
  <si>
    <t>012 548 0040/45</t>
  </si>
  <si>
    <t>082 706 0070</t>
  </si>
  <si>
    <t> grant@bobbyscott.co.za</t>
  </si>
  <si>
    <t>Cnr. Breed &amp; Taaifontein Road, Montana, Pretoria.</t>
  </si>
  <si>
    <t>Sherco South Africa</t>
  </si>
  <si>
    <t>083 274 7390</t>
  </si>
  <si>
    <t>012 347 1820</t>
  </si>
  <si>
    <t>sales@shercosouthafrica.co.za</t>
  </si>
  <si>
    <t>Shop 23
Waterkloof Ridge Lifestyle Centre
429 Cliff Street
Waterkloof Ridge
Pretoria</t>
  </si>
  <si>
    <t>Supercross Workshop</t>
  </si>
  <si>
    <t>Gezina, PTA</t>
  </si>
  <si>
    <t>Suzuki Motor Cycle Mecca</t>
  </si>
  <si>
    <t>012 326 5572</t>
  </si>
  <si>
    <t>201 Paul Kruger Street
Capital Park
Pretoria
0084</t>
  </si>
  <si>
    <t>Suzuki Toy Store</t>
  </si>
  <si>
    <t>012 653 2616</t>
  </si>
  <si>
    <t>sales.suzukitoystore@gmail.com</t>
  </si>
  <si>
    <t>26 Jacaranda Street
Hennopspark
Centurion, 0157</t>
  </si>
  <si>
    <t>Synergy Motorcycles</t>
  </si>
  <si>
    <t>082 768 2468</t>
  </si>
  <si>
    <t>synergymotorcycles@gmail.com</t>
  </si>
  <si>
    <t>Unit 22 Montana Value Centre
Zambesi Drive Montana PTA</t>
  </si>
  <si>
    <t>Top Gear Motorcycles</t>
  </si>
  <si>
    <t>012 804 3557</t>
  </si>
  <si>
    <t>374 Pretoria Street
Silverton
Pretoria
0184</t>
  </si>
  <si>
    <t>Touratech South Africa</t>
  </si>
  <si>
    <t>Transvaal Motor &amp; Cycle House</t>
  </si>
  <si>
    <t>012 323 4026</t>
  </si>
  <si>
    <t>344 Struben St, Pretoria Central, Pretoria, 0002</t>
  </si>
  <si>
    <t>TRD Motorcycle's</t>
  </si>
  <si>
    <t>TRX Moto</t>
  </si>
  <si>
    <t>012 111 0190</t>
  </si>
  <si>
    <t>info@traxktm.co.za</t>
  </si>
  <si>
    <t>Shop 8
Willow Rock Value Centre
Cnr Solomon Mahlangu Drive &amp; Bendeman Street
Equestria, Pretoria East</t>
  </si>
  <si>
    <t>Triumph Centurion</t>
  </si>
  <si>
    <t>The Wrench</t>
  </si>
  <si>
    <t>012 664 2610</t>
  </si>
  <si>
    <t>064 308 7927</t>
  </si>
  <si>
    <t>thewrench@acenet.co.za</t>
  </si>
  <si>
    <t>2 Botha Ave, Lyttelton Manor, Pretoria, 0157</t>
  </si>
  <si>
    <t>UB Leisure</t>
  </si>
  <si>
    <t>+27 67 001 7964</t>
  </si>
  <si>
    <t>+27 73 559 4324 </t>
  </si>
  <si>
    <t>info@ubleisure.co.za</t>
  </si>
  <si>
    <t>34 Banghoek Cresent, The Willows 340-Jr, Pretoria</t>
  </si>
  <si>
    <t>Ultimate Performance - KTM</t>
  </si>
  <si>
    <t>V Custom Cycles - Harleys</t>
  </si>
  <si>
    <t>We Buy Bikes</t>
  </si>
  <si>
    <t>062 001 0373</t>
  </si>
  <si>
    <t>066 218 2510</t>
  </si>
  <si>
    <t>info.webuybikes@gmail.com</t>
  </si>
  <si>
    <t>235 Bosuil Street, Kameeldrift-Oos, Pretoria, South Africa,</t>
  </si>
  <si>
    <t>OUTDOOR / CAMPING</t>
  </si>
  <si>
    <t>Outdoor Warehouse (FMCG)</t>
  </si>
  <si>
    <t>0800 007 261</t>
  </si>
  <si>
    <t>+27 21 464 5100</t>
  </si>
  <si>
    <t>The Mill House,
1 Canterbury Street,
Zonnebloem, 7925</t>
  </si>
  <si>
    <t>Safari Outdoor</t>
  </si>
  <si>
    <t>086 122 2269</t>
  </si>
  <si>
    <t xml:space="preserve">info@so.co.za </t>
  </si>
  <si>
    <t>Cnr of Lynnwood &amp; Daventary Road Lynnwood Bridge Office Park Block A, Floor 1, Lynnwood Manor, Pretoria, 0081</t>
  </si>
  <si>
    <t>Cape Union Mart</t>
  </si>
  <si>
    <t>Camp more outdoor</t>
  </si>
  <si>
    <t xml:space="preserve"> </t>
  </si>
  <si>
    <t>4 X 4 &amp; OFFROAD STORES</t>
  </si>
  <si>
    <t>Ironman 4X4</t>
  </si>
  <si>
    <t>011 634 7770</t>
  </si>
  <si>
    <t xml:space="preserve">info@ironman4x4.co.za </t>
  </si>
  <si>
    <t>1 Voortrekker Rd, Alberton, 1449</t>
  </si>
  <si>
    <t>4X4 mega world</t>
  </si>
  <si>
    <t>011 454 2875</t>
  </si>
  <si>
    <t>9 Estee Ackerman St, Road, Boksburg, 1459</t>
  </si>
  <si>
    <t>ONCA 4x4</t>
  </si>
  <si>
    <t>Kempton Park</t>
  </si>
  <si>
    <t>Absolute Offroad</t>
  </si>
  <si>
    <t>New Redruth, Alberton</t>
  </si>
  <si>
    <t>Ultimate Offroad</t>
  </si>
  <si>
    <t>Benoni</t>
  </si>
  <si>
    <t>Brothers 4x4 Online</t>
  </si>
  <si>
    <t>Roodepoort</t>
  </si>
  <si>
    <t>Gerbers 4WD Accessories</t>
  </si>
  <si>
    <t>Ironman 4x4 South Africa</t>
  </si>
  <si>
    <t>Alberton</t>
  </si>
  <si>
    <t>4x4 Mega World Online</t>
  </si>
  <si>
    <t>The Offroad Guys</t>
  </si>
  <si>
    <t>Dune Offroad 4x4 Fitment Centre</t>
  </si>
  <si>
    <t>Road Rage Off-Road Accessories</t>
  </si>
  <si>
    <t>N4 Gateway Ind Park, Pretoria</t>
  </si>
  <si>
    <t>Patcor Offroad</t>
  </si>
  <si>
    <t>Montana Park</t>
  </si>
  <si>
    <t>WR Off-Road Industries</t>
  </si>
  <si>
    <t>Wildog Accessories</t>
  </si>
  <si>
    <t>Pretoria</t>
  </si>
  <si>
    <t xml:space="preserve">LA Sport 4WD Megastores </t>
  </si>
  <si>
    <t xml:space="preserve">Derdepoort - Pretoria </t>
  </si>
  <si>
    <t>Zone Offroad Products</t>
  </si>
  <si>
    <t xml:space="preserve">Midrand </t>
  </si>
  <si>
    <t>Summit 4x4 Accessories</t>
  </si>
  <si>
    <t>Rosslyn Pretoria</t>
  </si>
  <si>
    <t xml:space="preserve">Stofpad 4x4 </t>
  </si>
  <si>
    <t>Lyttelton, Centurion</t>
  </si>
  <si>
    <t>Montana 4x4 Fitment Centre</t>
  </si>
  <si>
    <t>Breeot Street, PTA</t>
  </si>
  <si>
    <t>Axe 4x4 Fitment &amp; Adventure Centre</t>
  </si>
  <si>
    <t>Lavender Road, PTA</t>
  </si>
  <si>
    <t>Baillies Off Road</t>
  </si>
  <si>
    <t>Weca Off Road</t>
  </si>
  <si>
    <t>Hennopspark, Centurion</t>
  </si>
  <si>
    <t>4x4 Direct Centurion</t>
  </si>
  <si>
    <t>Online as well</t>
  </si>
  <si>
    <t>Rhino 4x4 Africa</t>
  </si>
  <si>
    <t>Randpark Ridge, JHB</t>
  </si>
  <si>
    <t>Mand B Offroad 4x4 Accessories</t>
  </si>
  <si>
    <t>Sasolburg</t>
  </si>
  <si>
    <t>All Offroad Products for Jeeps</t>
  </si>
  <si>
    <t>JHB</t>
  </si>
  <si>
    <t>Bundu 4x4 Acccessories</t>
  </si>
  <si>
    <t>CAR STORAGE &amp; TRANSPORT</t>
  </si>
  <si>
    <t>Motorvia</t>
  </si>
  <si>
    <t>SA &amp; Neighbouring Countries</t>
  </si>
  <si>
    <t>Distribution &amp; Storage</t>
  </si>
  <si>
    <t>Trading for 45 years + leading brand clients</t>
  </si>
  <si>
    <t>Xtraspace Car Storage Solutions</t>
  </si>
  <si>
    <t>JHB, DBN, PMB, CT</t>
  </si>
  <si>
    <t>Classic &amp; Vintage Vehicle Storage</t>
  </si>
  <si>
    <t>Self Storage in Vereeniging</t>
  </si>
  <si>
    <t>Wheels Club</t>
  </si>
  <si>
    <t>JHB, Sandton</t>
  </si>
  <si>
    <t>Luxury Vehicle Storage</t>
  </si>
  <si>
    <t>VEHICLE AUCTIONS (MAINLY REPOS)</t>
  </si>
  <si>
    <t>Autoworld Auction &amp; Trade Centre</t>
  </si>
  <si>
    <t>Montana, PTA</t>
  </si>
  <si>
    <t>Universal Auction</t>
  </si>
  <si>
    <t>Mayville, PTA</t>
  </si>
  <si>
    <t>Auction Operation</t>
  </si>
  <si>
    <t>PTA West, Randburg, Roodepoort</t>
  </si>
  <si>
    <t>Avis Fleet Trade &amp; Auction Centre</t>
  </si>
  <si>
    <t>SMD Pretoria</t>
  </si>
  <si>
    <t>PTA</t>
  </si>
  <si>
    <t>Wesbank Auction Centre</t>
  </si>
  <si>
    <t>Midrand, Randburg</t>
  </si>
  <si>
    <t>Motus Auto Auctions</t>
  </si>
  <si>
    <t>Germiston, Edenvale</t>
  </si>
  <si>
    <t>SA Auction Group</t>
  </si>
  <si>
    <t>Delmas</t>
  </si>
  <si>
    <t>Bidmax</t>
  </si>
  <si>
    <t>Kosmosdal, Centurion</t>
  </si>
  <si>
    <t>Park Village Auctions</t>
  </si>
  <si>
    <t>JHB, PE</t>
  </si>
  <si>
    <t>Aucor Auctioneers</t>
  </si>
  <si>
    <t>Centurion, PTA, CT</t>
  </si>
  <si>
    <t>Bank Repo and Fleet Vehicles</t>
  </si>
  <si>
    <t>Randburg, CT, DBN</t>
  </si>
  <si>
    <t>Motor Auction SA</t>
  </si>
  <si>
    <t>Krugersdorp</t>
  </si>
  <si>
    <t>Bidco Auctioneers</t>
  </si>
  <si>
    <t>Wolmaranspoort, PTA</t>
  </si>
  <si>
    <t>Auction Evolution - Trucks</t>
  </si>
  <si>
    <t>Traders Auction Group</t>
  </si>
  <si>
    <t>George Western Cape</t>
  </si>
  <si>
    <t>Mycars.co.za</t>
  </si>
  <si>
    <t>Consolidated Auctioneers</t>
  </si>
  <si>
    <t>Germiston</t>
  </si>
  <si>
    <t>Auto Repo</t>
  </si>
  <si>
    <t>Jet Park Auctioneers</t>
  </si>
  <si>
    <t>Witfield, JHB</t>
  </si>
  <si>
    <t>Fleet - Government Municiple Vehicles</t>
  </si>
  <si>
    <t>Supreme Vehicle Auctioneers</t>
  </si>
  <si>
    <t>Repo</t>
  </si>
  <si>
    <t>Auto Auction Motors</t>
  </si>
  <si>
    <t>Brakpan</t>
  </si>
  <si>
    <t>ABSA Vehicle &amp; Asset Finance Trade Centre</t>
  </si>
  <si>
    <t>Boksburg, DBN, PE, CT, Bloemfontein</t>
  </si>
  <si>
    <t>Repos</t>
  </si>
  <si>
    <t>SA Auto Auctioneers</t>
  </si>
  <si>
    <t>Auction Nation</t>
  </si>
  <si>
    <t>Kempton Park, DBN</t>
  </si>
  <si>
    <t>MFC Auto Auctioneers</t>
  </si>
  <si>
    <t>Vereeeniging</t>
  </si>
  <si>
    <t>Midway Auto Auctioneers</t>
  </si>
  <si>
    <t>Heildelberg</t>
  </si>
  <si>
    <t>Repossessed Car Auctioneers</t>
  </si>
  <si>
    <t>Apex Auctioneers</t>
  </si>
  <si>
    <t>Auto Bargain Auctioneers</t>
  </si>
  <si>
    <t>Outsourced Vehicle and Auctions</t>
  </si>
  <si>
    <t>Springs</t>
  </si>
  <si>
    <t>CAHI Auctioneers</t>
  </si>
  <si>
    <t>Shere, PTA</t>
  </si>
  <si>
    <t>EARTHMOVING CONTRACTORS &amp; PLANT HIRE</t>
  </si>
  <si>
    <t>Revaro Group of Companies</t>
  </si>
  <si>
    <t>Plant Hire</t>
  </si>
  <si>
    <t>Big Joe TLB Hire</t>
  </si>
  <si>
    <t>SA Earthworks</t>
  </si>
  <si>
    <t>Earthcon Earthmoving - Equip Supplier</t>
  </si>
  <si>
    <t>Edenvale</t>
  </si>
  <si>
    <t>Fountain Civil Eng</t>
  </si>
  <si>
    <t>Meintjes Plant Hire &amp; Earthworks</t>
  </si>
  <si>
    <t>DK Truck and Plant Hire</t>
  </si>
  <si>
    <t>DK Civils and Earthworks</t>
  </si>
  <si>
    <t>Meridian Earthworks</t>
  </si>
  <si>
    <t>Al's Group</t>
  </si>
  <si>
    <t>Doringkloof R21</t>
  </si>
  <si>
    <t>Plant Hire, Mining, Contruction</t>
  </si>
  <si>
    <t>Boksburg Earthworks - Plant Hire</t>
  </si>
  <si>
    <t>Jet Park</t>
  </si>
  <si>
    <t>Keller South Africa</t>
  </si>
  <si>
    <t>Olifantsfontein</t>
  </si>
  <si>
    <t>Empyreal Construction</t>
  </si>
  <si>
    <t>Derdepoort, PTA</t>
  </si>
  <si>
    <t>ICON Group</t>
  </si>
  <si>
    <t>Phoenecian Group</t>
  </si>
  <si>
    <t>Earthworks, Demolition</t>
  </si>
  <si>
    <t>Torquip Earthmoving Services</t>
  </si>
  <si>
    <t>Renico Earthworks &amp; Civils</t>
  </si>
  <si>
    <t>Honeydew, JHB</t>
  </si>
  <si>
    <t>Stefanutti Stocks Roads &amp; Earthworks</t>
  </si>
  <si>
    <t>Chloorkop</t>
  </si>
  <si>
    <t>MW Civil Earthworks</t>
  </si>
  <si>
    <t>C&amp;J Earthmvoing Repairs</t>
  </si>
  <si>
    <t>James and Marler Earthmoving</t>
  </si>
  <si>
    <t>Chartwell JHB</t>
  </si>
  <si>
    <t>W DE Bruyn Plant Hire, Demolition &amp; Earthworks</t>
  </si>
  <si>
    <t>Carlton Plant and Projects Hire</t>
  </si>
  <si>
    <t>Kew JHB</t>
  </si>
  <si>
    <t>JD Hoffman Earthmoving &amp; Pant Hire</t>
  </si>
  <si>
    <t>Zero Azania Earthworks</t>
  </si>
  <si>
    <t>West Rand Plant Hire</t>
  </si>
  <si>
    <t>Vulcania Brakpan</t>
  </si>
  <si>
    <t>Bophelong Construction</t>
  </si>
  <si>
    <t>CJH Cranes, Equipment &amp; Plant</t>
  </si>
  <si>
    <t>RH Plant Hire</t>
  </si>
  <si>
    <t>SDS Plant Hire</t>
  </si>
  <si>
    <t>Sandton JHB</t>
  </si>
  <si>
    <t>Octo Plant Hire</t>
  </si>
  <si>
    <t>Tiegerpoort PTA</t>
  </si>
  <si>
    <t>Eco Plant Hire</t>
  </si>
  <si>
    <t>Oasis Plant Hire</t>
  </si>
  <si>
    <t>Witfield Boksburg</t>
  </si>
  <si>
    <t xml:space="preserve">Rail Plant Hire </t>
  </si>
  <si>
    <t>Nexusspace Plant Hire</t>
  </si>
  <si>
    <t>Webcon Mini Plant Hire</t>
  </si>
  <si>
    <t>Petit Benoni</t>
  </si>
  <si>
    <t>Sandton Plant Hire</t>
  </si>
  <si>
    <t>BLC Plant Company - Hire</t>
  </si>
  <si>
    <t>Big Toys Plant Hire - Crane Trucks</t>
  </si>
  <si>
    <t>Smart Earthmoving</t>
  </si>
  <si>
    <t>EPH Plant Hire</t>
  </si>
  <si>
    <t>Rooihuiskraal Centurion</t>
  </si>
  <si>
    <t>Eastrand Earthmoving</t>
  </si>
  <si>
    <t>TJ Plant Hire</t>
  </si>
  <si>
    <t>Rocket Plant &amp; Equipment</t>
  </si>
  <si>
    <t>Palomino Plant SA</t>
  </si>
  <si>
    <t>Motwell Plant Hire</t>
  </si>
  <si>
    <t>Dew Plant Hire</t>
  </si>
  <si>
    <t>Rustenburg</t>
  </si>
  <si>
    <t>Dynamic Dirt Diggers</t>
  </si>
  <si>
    <t>Hefer Plant Hire</t>
  </si>
  <si>
    <t>Randfontein</t>
  </si>
  <si>
    <t>Plantcor Mining &amp; Plant Hire</t>
  </si>
  <si>
    <t>Letsatsi Hire</t>
  </si>
  <si>
    <t>A2 Engineering Plant Hire</t>
  </si>
  <si>
    <t>ONLINE VENDORS / MARKETPLACES (MIXED VENDORS)</t>
  </si>
  <si>
    <t>Leroy Merlin</t>
  </si>
  <si>
    <t>010 493 8000</t>
  </si>
  <si>
    <t>North Rand Rd, Bartlett AH, Boksburg, 1459</t>
  </si>
  <si>
    <t>Online</t>
  </si>
  <si>
    <t>Final Documents / Learn Marketplace</t>
  </si>
  <si>
    <t>Takealot</t>
  </si>
  <si>
    <t xml:space="preserve">Godfrey Tundube </t>
  </si>
  <si>
    <t>087 362 4499</t>
  </si>
  <si>
    <t xml:space="preserve">godfrey.tundube@takealot.com </t>
  </si>
  <si>
    <t>ID / Bank Details</t>
  </si>
  <si>
    <t>Application Successful / Learn Marketplace &amp; upload parts</t>
  </si>
  <si>
    <t>Loot Marketplace</t>
  </si>
  <si>
    <t>Declined / Product non compliant with their categories</t>
  </si>
  <si>
    <t>Pricecheck</t>
  </si>
  <si>
    <t>Application Submitted / Await Feedback</t>
  </si>
  <si>
    <t>Junkmail</t>
  </si>
  <si>
    <t>Value Forest</t>
  </si>
  <si>
    <t>Search Engine Only</t>
  </si>
  <si>
    <t>OLX</t>
  </si>
  <si>
    <t>Everyshop</t>
  </si>
  <si>
    <t>Auto Supply</t>
  </si>
  <si>
    <t>Daddy's Deals</t>
  </si>
  <si>
    <t>EMD Racing</t>
  </si>
  <si>
    <t>Botha Ave, Centurion</t>
  </si>
  <si>
    <t>Wilgers PTA, CT, Rivonia</t>
  </si>
  <si>
    <t>Atlas Gear</t>
  </si>
  <si>
    <t>Muldersdrift, JHB</t>
  </si>
  <si>
    <t>Spirit Motorcycle's</t>
  </si>
  <si>
    <t>Montague Gardens, Cape Town</t>
  </si>
  <si>
    <t>Motorcycle World</t>
  </si>
  <si>
    <t>Cape Town</t>
  </si>
  <si>
    <t>Bike Gear Motocylce Accessories</t>
  </si>
  <si>
    <t>PE</t>
  </si>
  <si>
    <t>Max-Ink Motorcycle Parts &amp; Accessories</t>
  </si>
  <si>
    <t>SA 4x4 Overland Adventure</t>
  </si>
  <si>
    <t xml:space="preserve">Fire It Up! </t>
  </si>
  <si>
    <t>Bryanston, Sandton</t>
  </si>
  <si>
    <t>Motorcycle's Online</t>
  </si>
  <si>
    <t>City Wheels Auction House</t>
  </si>
  <si>
    <t>Bidvest Burchmore Johannesburg</t>
  </si>
  <si>
    <t>Imperial Auto Auctions/Automart</t>
  </si>
  <si>
    <t xml:space="preserve">Automart </t>
  </si>
  <si>
    <t>Hatfield, PTA</t>
  </si>
  <si>
    <t>Dealersonlineauction.co.za</t>
  </si>
  <si>
    <t>To Search:</t>
  </si>
  <si>
    <t>Camping Places (google)</t>
  </si>
  <si>
    <t>Motorcycle shops (google)</t>
  </si>
  <si>
    <t>Battery Outkets (google)</t>
  </si>
  <si>
    <t>Car service places (google)</t>
  </si>
  <si>
    <t>High end car dealers (google)</t>
  </si>
  <si>
    <t>Aviation (google)</t>
  </si>
  <si>
    <t>Private car collectors</t>
  </si>
  <si>
    <t>Pieter Maneles (lorna)</t>
  </si>
  <si>
    <t>Frank - Build a strong catalog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</si>
</sst>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[$R-1C09]* #,##0.00_-;\-[$R-1C09]* #,##0.00_-;_-[$R-1C09]* &quot;-&quot;??_-;_-@"/>
    <numFmt numFmtId="165" formatCode="[$-F800]dddd\,\ mmmm\ dd\,\ yyyy"/>
    <numFmt numFmtId="166" formatCode="_-[$R-1C09]* #,##0_-;\-[$R-1C09]* #,##0_-;_-[$R-1C09]* &quot;-&quot;??_-;_-@"/>
    <numFmt numFmtId="167" formatCode="&quot;R&quot;#,##0.00"/>
  </numFmts>
  <fonts count="36">
    <font>
      <sz val="10.0"/>
      <color rgb="FF000000"/>
      <name val="Calibri"/>
      <scheme val="minor"/>
    </font>
    <font>
      <b/>
      <u/>
      <sz val="10.0"/>
      <color rgb="FF000000"/>
      <name val="Arial"/>
    </font>
    <font>
      <b/>
      <u/>
      <sz val="10.0"/>
      <color rgb="FF000000"/>
      <name val="Arial"/>
    </font>
    <font/>
    <font>
      <b/>
      <sz val="10.0"/>
      <color rgb="FF000000"/>
      <name val="Arial"/>
    </font>
    <font>
      <b/>
      <sz val="10.0"/>
      <color theme="1"/>
      <name val="Arial"/>
    </font>
    <font>
      <sz val="10.0"/>
      <color rgb="FF000000"/>
      <name val="Arial"/>
    </font>
    <font>
      <b/>
      <sz val="10.0"/>
      <color theme="0"/>
      <name val="Arial"/>
    </font>
    <font>
      <b/>
      <sz val="10.0"/>
      <color rgb="FFFFFFFF"/>
      <name val="Arial"/>
    </font>
    <font>
      <sz val="6.0"/>
      <color theme="0"/>
      <name val="Calibri"/>
    </font>
    <font>
      <sz val="10.0"/>
      <color rgb="FF000000"/>
      <name val="Calibri"/>
    </font>
    <font>
      <b/>
      <u/>
      <sz val="10.0"/>
      <color rgb="FF000000"/>
      <name val="Arial"/>
    </font>
    <font>
      <b/>
      <u/>
      <sz val="10.0"/>
      <color rgb="FF000000"/>
      <name val="Arial"/>
    </font>
    <font>
      <b/>
      <u/>
      <sz val="10.0"/>
      <color rgb="FF000000"/>
      <name val="Arial"/>
    </font>
    <font>
      <b/>
      <u/>
      <sz val="10.0"/>
      <color rgb="FF000000"/>
      <name val="Arial"/>
    </font>
    <font>
      <b/>
      <u/>
      <sz val="10.0"/>
      <color rgb="FF000000"/>
      <name val="Arial"/>
    </font>
    <font>
      <b/>
      <u/>
      <sz val="10.0"/>
      <color rgb="FF000000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0.0"/>
      <color theme="1"/>
      <name val="Arial"/>
    </font>
    <font>
      <sz val="10.0"/>
      <color theme="0"/>
      <name val="Calibri"/>
    </font>
    <font>
      <sz val="10.0"/>
      <color theme="0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0"/>
      <name val="Calibri"/>
    </font>
    <font>
      <b/>
      <sz val="14.0"/>
      <color theme="0"/>
      <name val="Calibri"/>
    </font>
    <font>
      <u/>
      <sz val="11.0"/>
      <color theme="10"/>
      <name val="Calibri"/>
    </font>
    <font>
      <sz val="10.0"/>
      <color theme="1"/>
      <name val="Calibri"/>
    </font>
    <font>
      <u/>
      <sz val="11.0"/>
      <color theme="10"/>
      <name val="Calibri"/>
    </font>
    <font>
      <sz val="11.0"/>
      <color theme="10"/>
      <name val="Calibri"/>
    </font>
    <font>
      <u/>
      <sz val="11.0"/>
      <color theme="10"/>
      <name val="Calibri"/>
    </font>
    <font>
      <sz val="11.0"/>
      <color rgb="FF3B3B3B"/>
      <name val="Calibri"/>
    </font>
    <font>
      <sz val="10.0"/>
      <color rgb="FF262626"/>
      <name val="Roboto"/>
    </font>
    <font>
      <sz val="11.0"/>
      <color rgb="FF000000"/>
      <name val="Calibri"/>
    </font>
    <font>
      <u/>
      <sz val="11.0"/>
      <color theme="10"/>
      <name val="Calibri"/>
    </font>
    <font>
      <u/>
      <sz val="11.0"/>
      <color theme="1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0B7ABF"/>
        <bgColor rgb="FF0B7ABF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1C2260"/>
        <bgColor rgb="FF1C2260"/>
      </patternFill>
    </fill>
    <fill>
      <patternFill patternType="solid">
        <fgColor rgb="FF7AB51C"/>
        <bgColor rgb="FF7AB51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shrinkToFit="0" vertical="center" wrapText="1"/>
    </xf>
    <xf borderId="5" fillId="2" fontId="4" numFmtId="164" xfId="0" applyAlignment="1" applyBorder="1" applyFont="1" applyNumberFormat="1">
      <alignment horizontal="center" readingOrder="0" shrinkToFit="0" vertical="center" wrapText="1"/>
    </xf>
    <xf borderId="5" fillId="2" fontId="4" numFmtId="0" xfId="0" applyAlignment="1" applyBorder="1" applyFont="1">
      <alignment horizontal="center" readingOrder="0" shrinkToFit="0" vertical="center" wrapText="1"/>
    </xf>
    <xf borderId="5" fillId="2" fontId="5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5" fillId="2" fontId="4" numFmtId="9" xfId="0" applyAlignment="1" applyBorder="1" applyFont="1" applyNumberFormat="1">
      <alignment horizontal="center" shrinkToFit="0" vertical="center" wrapText="1"/>
    </xf>
    <xf borderId="8" fillId="0" fontId="3" numFmtId="0" xfId="0" applyBorder="1" applyFont="1"/>
    <xf borderId="9" fillId="2" fontId="4" numFmtId="0" xfId="0" applyAlignment="1" applyBorder="1" applyFont="1">
      <alignment horizontal="center" shrinkToFit="0" vertical="center" wrapText="1"/>
    </xf>
    <xf borderId="9" fillId="2" fontId="4" numFmtId="164" xfId="0" applyAlignment="1" applyBorder="1" applyFont="1" applyNumberFormat="1">
      <alignment horizontal="center" shrinkToFit="0" vertical="center" wrapText="1"/>
    </xf>
    <xf borderId="9" fillId="2" fontId="5" numFmtId="0" xfId="0" applyAlignment="1" applyBorder="1" applyFont="1">
      <alignment horizontal="center" shrinkToFit="0" vertical="center" wrapText="1"/>
    </xf>
    <xf borderId="9" fillId="2" fontId="4" numFmtId="9" xfId="0" applyAlignment="1" applyBorder="1" applyFont="1" applyNumberFormat="1">
      <alignment horizontal="center" shrinkToFit="0" vertical="center" wrapText="1"/>
    </xf>
    <xf borderId="0" fillId="0" fontId="6" numFmtId="0" xfId="0" applyFont="1"/>
    <xf borderId="10" fillId="0" fontId="3" numFmtId="0" xfId="0" applyBorder="1" applyFont="1"/>
    <xf borderId="5" fillId="0" fontId="6" numFmtId="0" xfId="0" applyBorder="1" applyFont="1"/>
    <xf borderId="10" fillId="0" fontId="6" numFmtId="164" xfId="0" applyAlignment="1" applyBorder="1" applyFont="1" applyNumberFormat="1">
      <alignment horizontal="left" shrinkToFit="0" wrapText="1"/>
    </xf>
    <xf borderId="10" fillId="0" fontId="6" numFmtId="0" xfId="0" applyAlignment="1" applyBorder="1" applyFont="1">
      <alignment horizontal="center" readingOrder="0"/>
    </xf>
    <xf borderId="10" fillId="0" fontId="6" numFmtId="164" xfId="0" applyAlignment="1" applyBorder="1" applyFont="1" applyNumberFormat="1">
      <alignment horizontal="center" shrinkToFit="0" vertical="center" wrapText="1"/>
    </xf>
    <xf borderId="10" fillId="0" fontId="6" numFmtId="164" xfId="0" applyAlignment="1" applyBorder="1" applyFont="1" applyNumberFormat="1">
      <alignment horizontal="center" shrinkToFit="0" wrapText="1"/>
    </xf>
    <xf borderId="10" fillId="0" fontId="6" numFmtId="9" xfId="0" applyAlignment="1" applyBorder="1" applyFont="1" applyNumberFormat="1">
      <alignment horizontal="center" shrinkToFit="0" wrapText="1"/>
    </xf>
    <xf borderId="4" fillId="0" fontId="6" numFmtId="165" xfId="0" applyAlignment="1" applyBorder="1" applyFont="1" applyNumberFormat="1">
      <alignment horizontal="center" readingOrder="0" vertical="center"/>
    </xf>
    <xf borderId="5" fillId="3" fontId="6" numFmtId="0" xfId="0" applyBorder="1" applyFill="1" applyFont="1"/>
    <xf borderId="10" fillId="3" fontId="6" numFmtId="164" xfId="0" applyAlignment="1" applyBorder="1" applyFont="1" applyNumberFormat="1">
      <alignment horizontal="left" shrinkToFit="0" wrapText="1"/>
    </xf>
    <xf borderId="10" fillId="3" fontId="6" numFmtId="0" xfId="0" applyAlignment="1" applyBorder="1" applyFont="1">
      <alignment horizontal="center" readingOrder="0"/>
    </xf>
    <xf borderId="10" fillId="3" fontId="6" numFmtId="164" xfId="0" applyAlignment="1" applyBorder="1" applyFont="1" applyNumberFormat="1">
      <alignment horizontal="center" shrinkToFit="0" vertical="center" wrapText="1"/>
    </xf>
    <xf borderId="10" fillId="3" fontId="6" numFmtId="164" xfId="0" applyAlignment="1" applyBorder="1" applyFont="1" applyNumberFormat="1">
      <alignment horizontal="center" shrinkToFit="0" wrapText="1"/>
    </xf>
    <xf borderId="10" fillId="3" fontId="6" numFmtId="9" xfId="0" applyAlignment="1" applyBorder="1" applyFont="1" applyNumberFormat="1">
      <alignment horizontal="center" shrinkToFit="0" wrapText="1"/>
    </xf>
    <xf borderId="10" fillId="4" fontId="6" numFmtId="164" xfId="0" applyAlignment="1" applyBorder="1" applyFill="1" applyFont="1" applyNumberFormat="1">
      <alignment horizontal="left" shrinkToFit="0" wrapText="1"/>
    </xf>
    <xf borderId="10" fillId="0" fontId="6" numFmtId="164" xfId="0" applyAlignment="1" applyBorder="1" applyFont="1" applyNumberFormat="1">
      <alignment horizontal="left" readingOrder="0" shrinkToFit="0" wrapText="1"/>
    </xf>
    <xf borderId="5" fillId="0" fontId="6" numFmtId="0" xfId="0" applyAlignment="1" applyBorder="1" applyFont="1">
      <alignment horizontal="right"/>
    </xf>
    <xf borderId="0" fillId="0" fontId="6" numFmtId="164" xfId="0" applyFont="1" applyNumberFormat="1"/>
    <xf borderId="0" fillId="0" fontId="6" numFmtId="9" xfId="0" applyFont="1" applyNumberFormat="1"/>
    <xf borderId="0" fillId="0" fontId="6" numFmtId="0" xfId="0" applyAlignment="1" applyFont="1">
      <alignment readingOrder="0"/>
    </xf>
    <xf borderId="1" fillId="5" fontId="7" numFmtId="0" xfId="0" applyAlignment="1" applyBorder="1" applyFill="1" applyFont="1">
      <alignment horizontal="center" vertical="center"/>
    </xf>
    <xf borderId="4" fillId="5" fontId="7" numFmtId="0" xfId="0" applyAlignment="1" applyBorder="1" applyFont="1">
      <alignment horizontal="center" vertical="center"/>
    </xf>
    <xf borderId="5" fillId="5" fontId="7" numFmtId="0" xfId="0" applyAlignment="1" applyBorder="1" applyFont="1">
      <alignment horizontal="center" vertical="center"/>
    </xf>
    <xf borderId="5" fillId="5" fontId="7" numFmtId="164" xfId="0" applyAlignment="1" applyBorder="1" applyFont="1" applyNumberFormat="1">
      <alignment horizontal="center" vertical="center"/>
    </xf>
    <xf borderId="11" fillId="5" fontId="8" numFmtId="0" xfId="0" applyAlignment="1" applyBorder="1" applyFont="1">
      <alignment horizontal="center" readingOrder="0" shrinkToFit="0" vertical="center" wrapText="1"/>
    </xf>
    <xf borderId="11" fillId="5" fontId="7" numFmtId="0" xfId="0" applyAlignment="1" applyBorder="1" applyFont="1">
      <alignment horizontal="center" shrinkToFit="0" vertical="center" wrapText="1"/>
    </xf>
    <xf borderId="12" fillId="5" fontId="7" numFmtId="9" xfId="0" applyAlignment="1" applyBorder="1" applyFont="1" applyNumberFormat="1">
      <alignment horizontal="center" vertical="center"/>
    </xf>
    <xf borderId="5" fillId="5" fontId="7" numFmtId="0" xfId="0" applyAlignment="1" applyBorder="1" applyFont="1">
      <alignment horizontal="center" shrinkToFit="0" vertical="center" wrapText="1"/>
    </xf>
    <xf borderId="5" fillId="0" fontId="6" numFmtId="164" xfId="0" applyBorder="1" applyFont="1" applyNumberFormat="1"/>
    <xf borderId="5" fillId="0" fontId="6" numFmtId="9" xfId="0" applyBorder="1" applyFont="1" applyNumberFormat="1"/>
    <xf borderId="5" fillId="0" fontId="6" numFmtId="0" xfId="0" applyAlignment="1" applyBorder="1" applyFont="1">
      <alignment horizontal="center"/>
    </xf>
    <xf borderId="0" fillId="0" fontId="9" numFmtId="166" xfId="0" applyFont="1" applyNumberFormat="1"/>
    <xf borderId="4" fillId="0" fontId="6" numFmtId="165" xfId="0" applyAlignment="1" applyBorder="1" applyFont="1" applyNumberFormat="1">
      <alignment horizontal="center" vertical="center"/>
    </xf>
    <xf borderId="5" fillId="3" fontId="6" numFmtId="164" xfId="0" applyBorder="1" applyFont="1" applyNumberFormat="1"/>
    <xf borderId="5" fillId="3" fontId="6" numFmtId="9" xfId="0" applyBorder="1" applyFont="1" applyNumberFormat="1"/>
    <xf borderId="5" fillId="3" fontId="6" numFmtId="0" xfId="0" applyAlignment="1" applyBorder="1" applyFont="1">
      <alignment horizontal="center" readingOrder="0"/>
    </xf>
    <xf borderId="0" fillId="0" fontId="10" numFmtId="0" xfId="0" applyFont="1"/>
    <xf borderId="5" fillId="3" fontId="6" numFmtId="0" xfId="0" applyAlignment="1" applyBorder="1" applyFont="1">
      <alignment horizontal="center"/>
    </xf>
    <xf borderId="0" fillId="0" fontId="10" numFmtId="164" xfId="0" applyFont="1" applyNumberFormat="1"/>
    <xf borderId="5" fillId="0" fontId="6" numFmtId="0" xfId="0" applyAlignment="1" applyBorder="1" applyFont="1">
      <alignment horizontal="center" readingOrder="0"/>
    </xf>
    <xf borderId="5" fillId="3" fontId="6" numFmtId="164" xfId="0" applyAlignment="1" applyBorder="1" applyFont="1" applyNumberFormat="1">
      <alignment readingOrder="0"/>
    </xf>
    <xf borderId="1" fillId="6" fontId="11" numFmtId="0" xfId="0" applyAlignment="1" applyBorder="1" applyFill="1" applyFont="1">
      <alignment horizontal="center" vertical="center"/>
    </xf>
    <xf borderId="4" fillId="6" fontId="4" numFmtId="0" xfId="0" applyAlignment="1" applyBorder="1" applyFont="1">
      <alignment horizontal="center" vertical="center"/>
    </xf>
    <xf borderId="5" fillId="6" fontId="12" numFmtId="0" xfId="0" applyAlignment="1" applyBorder="1" applyFont="1">
      <alignment horizontal="center" vertical="center"/>
    </xf>
    <xf borderId="5" fillId="6" fontId="13" numFmtId="164" xfId="0" applyAlignment="1" applyBorder="1" applyFont="1" applyNumberFormat="1">
      <alignment horizontal="center" vertical="center"/>
    </xf>
    <xf borderId="5" fillId="6" fontId="14" numFmtId="164" xfId="0" applyAlignment="1" applyBorder="1" applyFont="1" applyNumberFormat="1">
      <alignment horizontal="center" shrinkToFit="0" vertical="center" wrapText="1"/>
    </xf>
    <xf borderId="5" fillId="6" fontId="15" numFmtId="9" xfId="0" applyAlignment="1" applyBorder="1" applyFont="1" applyNumberFormat="1">
      <alignment horizontal="center" vertical="center"/>
    </xf>
    <xf borderId="5" fillId="6" fontId="16" numFmtId="0" xfId="0" applyAlignment="1" applyBorder="1" applyFont="1">
      <alignment horizontal="center" shrinkToFit="0" vertical="center" wrapText="1"/>
    </xf>
    <xf borderId="5" fillId="6" fontId="4" numFmtId="0" xfId="0" applyAlignment="1" applyBorder="1" applyFont="1">
      <alignment horizontal="center" shrinkToFit="0" vertical="center" wrapText="1"/>
    </xf>
    <xf borderId="5" fillId="7" fontId="6" numFmtId="0" xfId="0" applyBorder="1" applyFill="1" applyFont="1"/>
    <xf borderId="5" fillId="7" fontId="6" numFmtId="164" xfId="0" applyBorder="1" applyFont="1" applyNumberFormat="1"/>
    <xf borderId="5" fillId="0" fontId="6" numFmtId="167" xfId="0" applyBorder="1" applyFont="1" applyNumberFormat="1"/>
    <xf borderId="5" fillId="7" fontId="6" numFmtId="9" xfId="0" applyBorder="1" applyFont="1" applyNumberFormat="1"/>
    <xf borderId="5" fillId="7" fontId="6" numFmtId="0" xfId="0" applyAlignment="1" applyBorder="1" applyFont="1">
      <alignment horizontal="center"/>
    </xf>
    <xf borderId="13" fillId="8" fontId="17" numFmtId="0" xfId="0" applyAlignment="1" applyBorder="1" applyFill="1" applyFont="1">
      <alignment horizontal="center" vertical="center"/>
    </xf>
    <xf borderId="13" fillId="8" fontId="17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vertical="center"/>
    </xf>
    <xf borderId="0" fillId="0" fontId="5" numFmtId="0" xfId="0" applyFont="1"/>
    <xf borderId="0" fillId="0" fontId="19" numFmtId="0" xfId="0" applyAlignment="1" applyFont="1">
      <alignment shrinkToFit="0" wrapText="1"/>
    </xf>
    <xf borderId="0" fillId="0" fontId="20" numFmtId="0" xfId="0" applyFont="1"/>
    <xf borderId="0" fillId="0" fontId="21" numFmtId="0" xfId="0" applyFont="1"/>
    <xf borderId="14" fillId="0" fontId="22" numFmtId="0" xfId="0" applyAlignment="1" applyBorder="1" applyFont="1">
      <alignment shrinkToFit="0" wrapText="1"/>
    </xf>
    <xf borderId="15" fillId="0" fontId="23" numFmtId="0" xfId="0" applyAlignment="1" applyBorder="1" applyFont="1">
      <alignment shrinkToFit="0" wrapText="1"/>
    </xf>
    <xf borderId="14" fillId="0" fontId="5" numFmtId="0" xfId="0" applyAlignment="1" applyBorder="1" applyFont="1">
      <alignment shrinkToFit="0" wrapText="1"/>
    </xf>
    <xf borderId="14" fillId="0" fontId="19" numFmtId="0" xfId="0" applyAlignment="1" applyBorder="1" applyFont="1">
      <alignment shrinkToFit="0" vertical="center" wrapText="1"/>
    </xf>
    <xf borderId="14" fillId="0" fontId="19" numFmtId="0" xfId="0" applyAlignment="1" applyBorder="1" applyFont="1">
      <alignment shrinkToFit="0" wrapText="1"/>
    </xf>
    <xf borderId="0" fillId="0" fontId="4" numFmtId="0" xfId="0" applyFont="1"/>
    <xf borderId="0" fillId="0" fontId="6" numFmtId="0" xfId="0" applyAlignment="1" applyFont="1">
      <alignment shrinkToFit="0" wrapText="1"/>
    </xf>
    <xf borderId="13" fillId="9" fontId="24" numFmtId="0" xfId="0" applyAlignment="1" applyBorder="1" applyFill="1" applyFont="1">
      <alignment vertical="center"/>
    </xf>
    <xf borderId="13" fillId="9" fontId="25" numFmtId="0" xfId="0" applyAlignment="1" applyBorder="1" applyFont="1">
      <alignment vertical="center"/>
    </xf>
    <xf borderId="13" fillId="9" fontId="24" numFmtId="49" xfId="0" applyAlignment="1" applyBorder="1" applyFont="1" applyNumberFormat="1">
      <alignment vertical="center"/>
    </xf>
    <xf borderId="13" fillId="9" fontId="24" numFmtId="0" xfId="0" applyAlignment="1" applyBorder="1" applyFont="1">
      <alignment shrinkToFit="0" vertical="center" wrapText="1"/>
    </xf>
    <xf borderId="0" fillId="0" fontId="22" numFmtId="49" xfId="0" applyFont="1" applyNumberFormat="1"/>
    <xf borderId="0" fillId="0" fontId="22" numFmtId="0" xfId="0" applyAlignment="1" applyFont="1">
      <alignment shrinkToFit="0" wrapText="1"/>
    </xf>
    <xf borderId="13" fillId="8" fontId="23" numFmtId="0" xfId="0" applyBorder="1" applyFont="1"/>
    <xf borderId="13" fillId="8" fontId="23" numFmtId="49" xfId="0" applyBorder="1" applyFont="1" applyNumberFormat="1"/>
    <xf borderId="13" fillId="8" fontId="23" numFmtId="0" xfId="0" applyAlignment="1" applyBorder="1" applyFont="1">
      <alignment shrinkToFit="0" wrapText="1"/>
    </xf>
    <xf borderId="0" fillId="0" fontId="22" numFmtId="0" xfId="0" applyFont="1"/>
    <xf borderId="0" fillId="0" fontId="26" numFmtId="0" xfId="0" applyFont="1"/>
    <xf borderId="0" fillId="0" fontId="27" numFmtId="0" xfId="0" applyFont="1"/>
    <xf borderId="13" fillId="10" fontId="22" numFmtId="0" xfId="0" applyBorder="1" applyFill="1" applyFont="1"/>
    <xf borderId="13" fillId="10" fontId="22" numFmtId="49" xfId="0" applyBorder="1" applyFont="1" applyNumberFormat="1"/>
    <xf borderId="13" fillId="10" fontId="28" numFmtId="0" xfId="0" applyBorder="1" applyFont="1"/>
    <xf borderId="13" fillId="10" fontId="22" numFmtId="0" xfId="0" applyAlignment="1" applyBorder="1" applyFont="1">
      <alignment shrinkToFit="0" wrapText="1"/>
    </xf>
    <xf borderId="13" fillId="11" fontId="22" numFmtId="0" xfId="0" applyBorder="1" applyFill="1" applyFont="1"/>
    <xf borderId="0" fillId="0" fontId="29" numFmtId="0" xfId="0" applyFont="1"/>
    <xf borderId="13" fillId="12" fontId="22" numFmtId="0" xfId="0" applyBorder="1" applyFill="1" applyFont="1"/>
    <xf borderId="0" fillId="0" fontId="30" numFmtId="3" xfId="0" applyFont="1" applyNumberFormat="1"/>
    <xf borderId="0" fillId="0" fontId="31" numFmtId="0" xfId="0" applyFont="1"/>
    <xf borderId="0" fillId="0" fontId="32" numFmtId="0" xfId="0" applyFont="1"/>
    <xf borderId="0" fillId="0" fontId="33" numFmtId="0" xfId="0" applyFont="1"/>
    <xf borderId="0" fillId="0" fontId="19" numFmtId="3" xfId="0" applyFont="1" applyNumberFormat="1"/>
    <xf borderId="13" fillId="8" fontId="22" numFmtId="0" xfId="0" applyBorder="1" applyFont="1"/>
    <xf borderId="13" fillId="8" fontId="22" numFmtId="49" xfId="0" applyBorder="1" applyFont="1" applyNumberFormat="1"/>
    <xf borderId="13" fillId="8" fontId="22" numFmtId="0" xfId="0" applyAlignment="1" applyBorder="1" applyFont="1">
      <alignment shrinkToFit="0" wrapText="1"/>
    </xf>
    <xf borderId="13" fillId="12" fontId="22" numFmtId="49" xfId="0" applyBorder="1" applyFont="1" applyNumberFormat="1"/>
    <xf borderId="13" fillId="12" fontId="22" numFmtId="0" xfId="0" applyAlignment="1" applyBorder="1" applyFont="1">
      <alignment shrinkToFit="0" wrapText="1"/>
    </xf>
    <xf borderId="13" fillId="13" fontId="22" numFmtId="0" xfId="0" applyBorder="1" applyFill="1" applyFont="1"/>
    <xf borderId="13" fillId="13" fontId="22" numFmtId="49" xfId="0" applyBorder="1" applyFont="1" applyNumberFormat="1"/>
    <xf borderId="13" fillId="13" fontId="34" numFmtId="0" xfId="0" applyBorder="1" applyFont="1"/>
    <xf borderId="13" fillId="13" fontId="22" numFmtId="0" xfId="0" applyAlignment="1" applyBorder="1" applyFont="1">
      <alignment shrinkToFit="0" wrapText="1"/>
    </xf>
    <xf borderId="13" fillId="4" fontId="22" numFmtId="0" xfId="0" applyBorder="1" applyFont="1"/>
    <xf borderId="13" fillId="4" fontId="22" numFmtId="49" xfId="0" applyBorder="1" applyFont="1" applyNumberFormat="1"/>
    <xf borderId="13" fillId="4" fontId="35" numFmtId="0" xfId="0" applyBorder="1" applyFont="1"/>
    <xf borderId="13" fillId="4" fontId="2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mailto:info@traxktm.co.za" TargetMode="External"/><Relationship Id="rId11" Type="http://schemas.openxmlformats.org/officeDocument/2006/relationships/hyperlink" Target="mailto:sales@partsboyz.co.za?cc=intsales@sparesboyz.com" TargetMode="External"/><Relationship Id="rId22" Type="http://schemas.openxmlformats.org/officeDocument/2006/relationships/hyperlink" Target="mailto:info@ironman4x4.co.za" TargetMode="External"/><Relationship Id="rId10" Type="http://schemas.openxmlformats.org/officeDocument/2006/relationships/hyperlink" Target="mailto:info@goldwagen.com" TargetMode="External"/><Relationship Id="rId21" Type="http://schemas.openxmlformats.org/officeDocument/2006/relationships/hyperlink" Target="mailto:info@so.co.za" TargetMode="External"/><Relationship Id="rId13" Type="http://schemas.openxmlformats.org/officeDocument/2006/relationships/hyperlink" Target="mailto:sales@mitautoparts.co.za" TargetMode="External"/><Relationship Id="rId24" Type="http://schemas.openxmlformats.org/officeDocument/2006/relationships/drawing" Target="../drawings/drawing5.xml"/><Relationship Id="rId12" Type="http://schemas.openxmlformats.org/officeDocument/2006/relationships/hyperlink" Target="mailto:info@grandmark.co.za" TargetMode="External"/><Relationship Id="rId23" Type="http://schemas.openxmlformats.org/officeDocument/2006/relationships/hyperlink" Target="mailto:godfrey.tundube@takealot.com" TargetMode="External"/><Relationship Id="rId1" Type="http://schemas.openxmlformats.org/officeDocument/2006/relationships/hyperlink" Target="mailto:customercare@adendorff.co.za" TargetMode="External"/><Relationship Id="rId2" Type="http://schemas.openxmlformats.org/officeDocument/2006/relationships/hyperlink" Target="mailto:makrocare@makro.co.za" TargetMode="External"/><Relationship Id="rId3" Type="http://schemas.openxmlformats.org/officeDocument/2006/relationships/hyperlink" Target="mailto:info@builders.co.za" TargetMode="External"/><Relationship Id="rId4" Type="http://schemas.openxmlformats.org/officeDocument/2006/relationships/hyperlink" Target="mailto:info@motusparts.co.za" TargetMode="External"/><Relationship Id="rId9" Type="http://schemas.openxmlformats.org/officeDocument/2006/relationships/hyperlink" Target="mailto:sales@naskar.co.za" TargetMode="External"/><Relationship Id="rId15" Type="http://schemas.openxmlformats.org/officeDocument/2006/relationships/hyperlink" Target="mailto:bavarian@bavarianmc.co.za" TargetMode="External"/><Relationship Id="rId14" Type="http://schemas.openxmlformats.org/officeDocument/2006/relationships/hyperlink" Target="mailto:sales@malas.co.za" TargetMode="External"/><Relationship Id="rId17" Type="http://schemas.openxmlformats.org/officeDocument/2006/relationships/hyperlink" Target="mailto:zambesiauto@bmwdealer.co.za" TargetMode="External"/><Relationship Id="rId16" Type="http://schemas.openxmlformats.org/officeDocument/2006/relationships/hyperlink" Target="mailto:jannie@bikeshopboksburg.co.za" TargetMode="External"/><Relationship Id="rId5" Type="http://schemas.openxmlformats.org/officeDocument/2006/relationships/hyperlink" Target="mailto:customercare@midas.co.za" TargetMode="External"/><Relationship Id="rId19" Type="http://schemas.openxmlformats.org/officeDocument/2006/relationships/hyperlink" Target="mailto:sales@puzey.co.za" TargetMode="External"/><Relationship Id="rId6" Type="http://schemas.openxmlformats.org/officeDocument/2006/relationships/hyperlink" Target="mailto:services@alert.co.za" TargetMode="External"/><Relationship Id="rId18" Type="http://schemas.openxmlformats.org/officeDocument/2006/relationships/hyperlink" Target="mailto:enquiries@primrose.co.za" TargetMode="External"/><Relationship Id="rId7" Type="http://schemas.openxmlformats.org/officeDocument/2006/relationships/hyperlink" Target="mailto:Verensia.Vermaak@Motusparts.co.za" TargetMode="External"/><Relationship Id="rId8" Type="http://schemas.openxmlformats.org/officeDocument/2006/relationships/hyperlink" Target="mailto:Customer.care@autozone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5ADB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71.43"/>
    <col customWidth="1" min="2" max="2" width="14.86"/>
    <col customWidth="1" min="3" max="3" width="11.57"/>
    <col customWidth="1" min="4" max="4" width="11.14"/>
    <col customWidth="1" min="5" max="5" width="13.57"/>
    <col customWidth="1" min="6" max="6" width="12.57"/>
    <col customWidth="1" min="7" max="7" width="15.14"/>
    <col customWidth="1" min="8" max="9" width="9.57"/>
    <col customWidth="1" min="10" max="11" width="15.29"/>
    <col customWidth="1" min="12" max="12" width="12.0"/>
    <col customWidth="1" min="13" max="13" width="11.57"/>
    <col customWidth="1" min="14" max="14" width="17.0"/>
    <col customWidth="1" min="15" max="15" width="16.0"/>
    <col customWidth="1" min="16" max="16" width="12.29"/>
    <col customWidth="1" min="17" max="17" width="9.86"/>
    <col customWidth="1" min="18" max="18" width="22.14"/>
    <col customWidth="1" min="19" max="33" width="9.86"/>
  </cols>
  <sheetData>
    <row r="1" ht="12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R1" s="5" t="s">
        <v>1</v>
      </c>
    </row>
    <row r="2" ht="12.75" customHeight="1">
      <c r="A2" s="6" t="s">
        <v>2</v>
      </c>
      <c r="B2" s="6" t="s">
        <v>3</v>
      </c>
      <c r="C2" s="7" t="s">
        <v>4</v>
      </c>
      <c r="D2" s="8" t="s">
        <v>5</v>
      </c>
      <c r="E2" s="7" t="s">
        <v>6</v>
      </c>
      <c r="F2" s="9" t="s">
        <v>7</v>
      </c>
      <c r="G2" s="10" t="s">
        <v>8</v>
      </c>
      <c r="H2" s="11"/>
      <c r="I2" s="12"/>
      <c r="J2" s="6" t="s">
        <v>9</v>
      </c>
      <c r="K2" s="6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R2" s="14"/>
    </row>
    <row r="3" ht="12.75" customHeight="1">
      <c r="A3" s="15"/>
      <c r="B3" s="15"/>
      <c r="C3" s="16"/>
      <c r="D3" s="15"/>
      <c r="E3" s="16"/>
      <c r="F3" s="17"/>
      <c r="G3" s="17" t="s">
        <v>16</v>
      </c>
      <c r="H3" s="17" t="s">
        <v>17</v>
      </c>
      <c r="I3" s="17" t="s">
        <v>18</v>
      </c>
      <c r="J3" s="6" t="s">
        <v>19</v>
      </c>
      <c r="K3" s="6" t="s">
        <v>19</v>
      </c>
      <c r="L3" s="16"/>
      <c r="M3" s="16"/>
      <c r="N3" s="16"/>
      <c r="O3" s="16"/>
      <c r="P3" s="18"/>
      <c r="Q3" s="19"/>
      <c r="R3" s="20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4" ht="12.75" customHeight="1">
      <c r="A4" s="21" t="s">
        <v>20</v>
      </c>
      <c r="B4" s="21">
        <v>6.009888657232E12</v>
      </c>
      <c r="C4" s="22">
        <f t="shared" ref="C4:C54" si="1">SUM(D4/1.15)</f>
        <v>119.3391304</v>
      </c>
      <c r="D4" s="22">
        <v>137.24</v>
      </c>
      <c r="E4" s="22">
        <f t="shared" ref="E4:E54" si="2">SUM(F4/1.15)</f>
        <v>200</v>
      </c>
      <c r="F4" s="22">
        <v>230.0</v>
      </c>
      <c r="G4" s="22">
        <f t="shared" ref="G4:G21" si="3">36*1.15</f>
        <v>41.4</v>
      </c>
      <c r="H4" s="22">
        <f t="shared" ref="H4:H25" si="4">(F4*10%)*1.15</f>
        <v>26.45</v>
      </c>
      <c r="I4" s="22">
        <f t="shared" ref="I4:I54" si="5">G4+H4</f>
        <v>67.85</v>
      </c>
      <c r="J4" s="23">
        <v>28.0</v>
      </c>
      <c r="K4" s="22">
        <f t="shared" ref="K4:K54" si="6">F4*J4</f>
        <v>6440</v>
      </c>
      <c r="L4" s="24">
        <f t="shared" ref="L4:L54" si="7">D4*J4</f>
        <v>3842.72</v>
      </c>
      <c r="M4" s="25">
        <f t="shared" ref="M4:M54" si="8">F4*J4</f>
        <v>6440</v>
      </c>
      <c r="N4" s="25">
        <f t="shared" ref="N4:N54" si="9">I4*J4</f>
        <v>1899.8</v>
      </c>
      <c r="O4" s="25">
        <f t="shared" ref="O4:O54" si="10">M4-N4</f>
        <v>4540.2</v>
      </c>
      <c r="P4" s="26">
        <f t="shared" ref="P4:P54" si="11">(O4-L4)/O4</f>
        <v>0.1536231884</v>
      </c>
      <c r="Q4" s="19"/>
      <c r="R4" s="27">
        <v>44725.0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 ht="12.75" customHeight="1">
      <c r="A5" s="28" t="s">
        <v>21</v>
      </c>
      <c r="B5" s="28">
        <v>6.009888657409E12</v>
      </c>
      <c r="C5" s="29">
        <f t="shared" si="1"/>
        <v>200.96</v>
      </c>
      <c r="D5" s="29">
        <v>231.104</v>
      </c>
      <c r="E5" s="29">
        <f t="shared" si="2"/>
        <v>339.1304348</v>
      </c>
      <c r="F5" s="29">
        <v>390.0</v>
      </c>
      <c r="G5" s="29">
        <f t="shared" si="3"/>
        <v>41.4</v>
      </c>
      <c r="H5" s="29">
        <f t="shared" si="4"/>
        <v>44.85</v>
      </c>
      <c r="I5" s="29">
        <f t="shared" si="5"/>
        <v>86.25</v>
      </c>
      <c r="J5" s="30">
        <v>12.0</v>
      </c>
      <c r="K5" s="29">
        <f t="shared" si="6"/>
        <v>4680</v>
      </c>
      <c r="L5" s="31">
        <f t="shared" si="7"/>
        <v>2773.248</v>
      </c>
      <c r="M5" s="32">
        <f t="shared" si="8"/>
        <v>4680</v>
      </c>
      <c r="N5" s="32">
        <f t="shared" si="9"/>
        <v>1035</v>
      </c>
      <c r="O5" s="32">
        <f t="shared" si="10"/>
        <v>3645</v>
      </c>
      <c r="P5" s="33">
        <f t="shared" si="11"/>
        <v>0.239163786</v>
      </c>
      <c r="Q5" s="19"/>
      <c r="R5" s="20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 ht="12.75" customHeight="1">
      <c r="A6" s="21" t="s">
        <v>22</v>
      </c>
      <c r="B6" s="21">
        <v>6.009888657416E12</v>
      </c>
      <c r="C6" s="22">
        <f t="shared" si="1"/>
        <v>197.3826087</v>
      </c>
      <c r="D6" s="22">
        <v>226.99</v>
      </c>
      <c r="E6" s="22">
        <f t="shared" si="2"/>
        <v>330.4347826</v>
      </c>
      <c r="F6" s="22">
        <v>380.0</v>
      </c>
      <c r="G6" s="22">
        <f t="shared" si="3"/>
        <v>41.4</v>
      </c>
      <c r="H6" s="22">
        <f t="shared" si="4"/>
        <v>43.7</v>
      </c>
      <c r="I6" s="22">
        <f t="shared" si="5"/>
        <v>85.1</v>
      </c>
      <c r="J6" s="23">
        <v>9.0</v>
      </c>
      <c r="K6" s="22">
        <f t="shared" si="6"/>
        <v>3420</v>
      </c>
      <c r="L6" s="24">
        <f t="shared" si="7"/>
        <v>2042.91</v>
      </c>
      <c r="M6" s="25">
        <f t="shared" si="8"/>
        <v>3420</v>
      </c>
      <c r="N6" s="25">
        <f t="shared" si="9"/>
        <v>765.9</v>
      </c>
      <c r="O6" s="25">
        <f t="shared" si="10"/>
        <v>2654.1</v>
      </c>
      <c r="P6" s="26">
        <f t="shared" si="11"/>
        <v>0.2302814513</v>
      </c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ht="12.75" customHeight="1">
      <c r="A7" s="28" t="s">
        <v>23</v>
      </c>
      <c r="B7" s="28">
        <v>6.009888657393E12</v>
      </c>
      <c r="C7" s="29">
        <f t="shared" si="1"/>
        <v>180.9043478</v>
      </c>
      <c r="D7" s="29">
        <v>208.04</v>
      </c>
      <c r="E7" s="29">
        <f t="shared" si="2"/>
        <v>304.3478261</v>
      </c>
      <c r="F7" s="29">
        <v>350.0</v>
      </c>
      <c r="G7" s="29">
        <f t="shared" si="3"/>
        <v>41.4</v>
      </c>
      <c r="H7" s="29">
        <f t="shared" si="4"/>
        <v>40.25</v>
      </c>
      <c r="I7" s="29">
        <f t="shared" si="5"/>
        <v>81.65</v>
      </c>
      <c r="J7" s="30">
        <v>0.0</v>
      </c>
      <c r="K7" s="29">
        <f t="shared" si="6"/>
        <v>0</v>
      </c>
      <c r="L7" s="31">
        <f t="shared" si="7"/>
        <v>0</v>
      </c>
      <c r="M7" s="32">
        <f t="shared" si="8"/>
        <v>0</v>
      </c>
      <c r="N7" s="32">
        <f t="shared" si="9"/>
        <v>0</v>
      </c>
      <c r="O7" s="32">
        <f t="shared" si="10"/>
        <v>0</v>
      </c>
      <c r="P7" s="33" t="str">
        <f t="shared" si="11"/>
        <v>#DIV/0!</v>
      </c>
      <c r="Q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ht="12.75" customHeight="1">
      <c r="A8" s="21" t="s">
        <v>24</v>
      </c>
      <c r="B8" s="21">
        <v>6.009888657386E12</v>
      </c>
      <c r="C8" s="22">
        <f t="shared" si="1"/>
        <v>156.2521739</v>
      </c>
      <c r="D8" s="22">
        <v>179.69</v>
      </c>
      <c r="E8" s="22">
        <f t="shared" si="2"/>
        <v>260.8695652</v>
      </c>
      <c r="F8" s="22">
        <v>300.0</v>
      </c>
      <c r="G8" s="22">
        <f t="shared" si="3"/>
        <v>41.4</v>
      </c>
      <c r="H8" s="22">
        <f t="shared" si="4"/>
        <v>34.5</v>
      </c>
      <c r="I8" s="22">
        <f t="shared" si="5"/>
        <v>75.9</v>
      </c>
      <c r="J8" s="23">
        <v>13.0</v>
      </c>
      <c r="K8" s="22">
        <f t="shared" si="6"/>
        <v>3900</v>
      </c>
      <c r="L8" s="24">
        <f t="shared" si="7"/>
        <v>2335.97</v>
      </c>
      <c r="M8" s="25">
        <f t="shared" si="8"/>
        <v>3900</v>
      </c>
      <c r="N8" s="25">
        <f t="shared" si="9"/>
        <v>986.7</v>
      </c>
      <c r="O8" s="25">
        <f t="shared" si="10"/>
        <v>2913.3</v>
      </c>
      <c r="P8" s="26">
        <f t="shared" si="11"/>
        <v>0.1981704596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</row>
    <row r="9" ht="12.75" customHeight="1">
      <c r="A9" s="28" t="s">
        <v>25</v>
      </c>
      <c r="B9" s="28">
        <v>6.009888657423E12</v>
      </c>
      <c r="C9" s="29">
        <f t="shared" si="1"/>
        <v>198.426087</v>
      </c>
      <c r="D9" s="29">
        <v>228.19</v>
      </c>
      <c r="E9" s="29">
        <f t="shared" si="2"/>
        <v>330.4347826</v>
      </c>
      <c r="F9" s="29">
        <v>380.0</v>
      </c>
      <c r="G9" s="29">
        <f t="shared" si="3"/>
        <v>41.4</v>
      </c>
      <c r="H9" s="29">
        <f t="shared" si="4"/>
        <v>43.7</v>
      </c>
      <c r="I9" s="29">
        <f t="shared" si="5"/>
        <v>85.1</v>
      </c>
      <c r="J9" s="30">
        <v>8.0</v>
      </c>
      <c r="K9" s="29">
        <f t="shared" si="6"/>
        <v>3040</v>
      </c>
      <c r="L9" s="31">
        <f t="shared" si="7"/>
        <v>1825.52</v>
      </c>
      <c r="M9" s="32">
        <f t="shared" si="8"/>
        <v>3040</v>
      </c>
      <c r="N9" s="32">
        <f t="shared" si="9"/>
        <v>680.8</v>
      </c>
      <c r="O9" s="32">
        <f t="shared" si="10"/>
        <v>2359.2</v>
      </c>
      <c r="P9" s="33">
        <f t="shared" si="11"/>
        <v>0.2262122753</v>
      </c>
      <c r="Q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ht="12.75" customHeight="1">
      <c r="A10" s="21" t="s">
        <v>26</v>
      </c>
      <c r="B10" s="21">
        <v>6.009888657584E12</v>
      </c>
      <c r="C10" s="22">
        <f t="shared" si="1"/>
        <v>227.6086957</v>
      </c>
      <c r="D10" s="22">
        <v>261.75</v>
      </c>
      <c r="E10" s="22">
        <f t="shared" si="2"/>
        <v>382.6086957</v>
      </c>
      <c r="F10" s="22">
        <v>440.0</v>
      </c>
      <c r="G10" s="22">
        <f t="shared" si="3"/>
        <v>41.4</v>
      </c>
      <c r="H10" s="22">
        <f t="shared" si="4"/>
        <v>50.6</v>
      </c>
      <c r="I10" s="22">
        <f t="shared" si="5"/>
        <v>92</v>
      </c>
      <c r="J10" s="23">
        <v>2.0</v>
      </c>
      <c r="K10" s="22">
        <f t="shared" si="6"/>
        <v>880</v>
      </c>
      <c r="L10" s="24">
        <f t="shared" si="7"/>
        <v>523.5</v>
      </c>
      <c r="M10" s="25">
        <f t="shared" si="8"/>
        <v>880</v>
      </c>
      <c r="N10" s="25">
        <f t="shared" si="9"/>
        <v>184</v>
      </c>
      <c r="O10" s="25">
        <f t="shared" si="10"/>
        <v>696</v>
      </c>
      <c r="P10" s="26">
        <f t="shared" si="11"/>
        <v>0.2478448276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ht="12.75" customHeight="1">
      <c r="A11" s="28" t="s">
        <v>27</v>
      </c>
      <c r="B11" s="28">
        <v>6.009888657461E12</v>
      </c>
      <c r="C11" s="29">
        <f t="shared" si="1"/>
        <v>321.9130435</v>
      </c>
      <c r="D11" s="29">
        <v>370.2</v>
      </c>
      <c r="E11" s="29">
        <f t="shared" si="2"/>
        <v>539.1304348</v>
      </c>
      <c r="F11" s="29">
        <v>620.0</v>
      </c>
      <c r="G11" s="29">
        <f t="shared" si="3"/>
        <v>41.4</v>
      </c>
      <c r="H11" s="29">
        <f t="shared" si="4"/>
        <v>71.3</v>
      </c>
      <c r="I11" s="29">
        <f t="shared" si="5"/>
        <v>112.7</v>
      </c>
      <c r="J11" s="30">
        <v>12.0</v>
      </c>
      <c r="K11" s="29">
        <f t="shared" si="6"/>
        <v>7440</v>
      </c>
      <c r="L11" s="31">
        <f t="shared" si="7"/>
        <v>4442.4</v>
      </c>
      <c r="M11" s="32">
        <f t="shared" si="8"/>
        <v>7440</v>
      </c>
      <c r="N11" s="32">
        <f t="shared" si="9"/>
        <v>1352.4</v>
      </c>
      <c r="O11" s="32">
        <f t="shared" si="10"/>
        <v>6087.6</v>
      </c>
      <c r="P11" s="33">
        <f t="shared" si="11"/>
        <v>0.2702542874</v>
      </c>
      <c r="Q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ht="12.75" customHeight="1">
      <c r="A12" s="21" t="s">
        <v>28</v>
      </c>
      <c r="B12" s="21">
        <v>6.00988865743E12</v>
      </c>
      <c r="C12" s="22">
        <f t="shared" si="1"/>
        <v>252.0608696</v>
      </c>
      <c r="D12" s="22">
        <v>289.87</v>
      </c>
      <c r="E12" s="22">
        <f t="shared" si="2"/>
        <v>417.3913043</v>
      </c>
      <c r="F12" s="22">
        <v>480.0</v>
      </c>
      <c r="G12" s="22">
        <f t="shared" si="3"/>
        <v>41.4</v>
      </c>
      <c r="H12" s="22">
        <f t="shared" si="4"/>
        <v>55.2</v>
      </c>
      <c r="I12" s="22">
        <f t="shared" si="5"/>
        <v>96.6</v>
      </c>
      <c r="J12" s="23">
        <v>14.0</v>
      </c>
      <c r="K12" s="22">
        <f t="shared" si="6"/>
        <v>6720</v>
      </c>
      <c r="L12" s="24">
        <f t="shared" si="7"/>
        <v>4058.18</v>
      </c>
      <c r="M12" s="25">
        <f t="shared" si="8"/>
        <v>6720</v>
      </c>
      <c r="N12" s="25">
        <f t="shared" si="9"/>
        <v>1352.4</v>
      </c>
      <c r="O12" s="25">
        <f t="shared" si="10"/>
        <v>5367.6</v>
      </c>
      <c r="P12" s="26">
        <f t="shared" si="11"/>
        <v>0.2439488785</v>
      </c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ht="12.75" customHeight="1">
      <c r="A13" s="28" t="s">
        <v>29</v>
      </c>
      <c r="B13" s="28">
        <v>6.009888657515E12</v>
      </c>
      <c r="C13" s="29">
        <f t="shared" si="1"/>
        <v>279.2434783</v>
      </c>
      <c r="D13" s="29">
        <v>321.13</v>
      </c>
      <c r="E13" s="29">
        <f t="shared" si="2"/>
        <v>460.8695652</v>
      </c>
      <c r="F13" s="29">
        <v>530.0</v>
      </c>
      <c r="G13" s="29">
        <f t="shared" si="3"/>
        <v>41.4</v>
      </c>
      <c r="H13" s="29">
        <f t="shared" si="4"/>
        <v>60.95</v>
      </c>
      <c r="I13" s="29">
        <f t="shared" si="5"/>
        <v>102.35</v>
      </c>
      <c r="J13" s="30">
        <v>0.0</v>
      </c>
      <c r="K13" s="29">
        <f t="shared" si="6"/>
        <v>0</v>
      </c>
      <c r="L13" s="31">
        <f t="shared" si="7"/>
        <v>0</v>
      </c>
      <c r="M13" s="32">
        <f t="shared" si="8"/>
        <v>0</v>
      </c>
      <c r="N13" s="32">
        <f t="shared" si="9"/>
        <v>0</v>
      </c>
      <c r="O13" s="32">
        <f t="shared" si="10"/>
        <v>0</v>
      </c>
      <c r="P13" s="33" t="str">
        <f t="shared" si="11"/>
        <v>#DIV/0!</v>
      </c>
      <c r="Q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ht="12.75" customHeight="1">
      <c r="A14" s="21" t="s">
        <v>30</v>
      </c>
      <c r="B14" s="21">
        <v>6.009888657447E12</v>
      </c>
      <c r="C14" s="22">
        <f t="shared" si="1"/>
        <v>215.3391304</v>
      </c>
      <c r="D14" s="22">
        <v>247.64</v>
      </c>
      <c r="E14" s="22">
        <f t="shared" si="2"/>
        <v>365.2173913</v>
      </c>
      <c r="F14" s="22">
        <v>420.0</v>
      </c>
      <c r="G14" s="22">
        <f t="shared" si="3"/>
        <v>41.4</v>
      </c>
      <c r="H14" s="22">
        <f t="shared" si="4"/>
        <v>48.3</v>
      </c>
      <c r="I14" s="22">
        <f t="shared" si="5"/>
        <v>89.7</v>
      </c>
      <c r="J14" s="23">
        <v>8.0</v>
      </c>
      <c r="K14" s="22">
        <f t="shared" si="6"/>
        <v>3360</v>
      </c>
      <c r="L14" s="24">
        <f t="shared" si="7"/>
        <v>1981.12</v>
      </c>
      <c r="M14" s="25">
        <f t="shared" si="8"/>
        <v>3360</v>
      </c>
      <c r="N14" s="25">
        <f t="shared" si="9"/>
        <v>717.6</v>
      </c>
      <c r="O14" s="25">
        <f t="shared" si="10"/>
        <v>2642.4</v>
      </c>
      <c r="P14" s="26">
        <f t="shared" si="11"/>
        <v>0.2502573418</v>
      </c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ht="12.75" customHeight="1">
      <c r="A15" s="28" t="s">
        <v>31</v>
      </c>
      <c r="B15" s="28">
        <v>6.009888657454E12</v>
      </c>
      <c r="C15" s="29">
        <f t="shared" si="1"/>
        <v>280.9913043</v>
      </c>
      <c r="D15" s="29">
        <v>323.14</v>
      </c>
      <c r="E15" s="29">
        <f t="shared" si="2"/>
        <v>469.5652174</v>
      </c>
      <c r="F15" s="29">
        <v>540.0</v>
      </c>
      <c r="G15" s="29">
        <f t="shared" si="3"/>
        <v>41.4</v>
      </c>
      <c r="H15" s="29">
        <f t="shared" si="4"/>
        <v>62.1</v>
      </c>
      <c r="I15" s="29">
        <f t="shared" si="5"/>
        <v>103.5</v>
      </c>
      <c r="J15" s="30">
        <v>5.0</v>
      </c>
      <c r="K15" s="29">
        <f t="shared" si="6"/>
        <v>2700</v>
      </c>
      <c r="L15" s="31">
        <f t="shared" si="7"/>
        <v>1615.7</v>
      </c>
      <c r="M15" s="32">
        <f t="shared" si="8"/>
        <v>2700</v>
      </c>
      <c r="N15" s="32">
        <f t="shared" si="9"/>
        <v>517.5</v>
      </c>
      <c r="O15" s="32">
        <f t="shared" si="10"/>
        <v>2182.5</v>
      </c>
      <c r="P15" s="33">
        <f t="shared" si="11"/>
        <v>0.2597021764</v>
      </c>
      <c r="Q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ht="12.75" customHeight="1">
      <c r="A16" s="21" t="s">
        <v>32</v>
      </c>
      <c r="B16" s="21">
        <v>6.009888657478E12</v>
      </c>
      <c r="C16" s="22">
        <f t="shared" si="1"/>
        <v>322.4521739</v>
      </c>
      <c r="D16" s="22">
        <v>370.82</v>
      </c>
      <c r="E16" s="22">
        <f t="shared" si="2"/>
        <v>539.1304348</v>
      </c>
      <c r="F16" s="22">
        <v>620.0</v>
      </c>
      <c r="G16" s="22">
        <f t="shared" si="3"/>
        <v>41.4</v>
      </c>
      <c r="H16" s="22">
        <f t="shared" si="4"/>
        <v>71.3</v>
      </c>
      <c r="I16" s="22">
        <f t="shared" si="5"/>
        <v>112.7</v>
      </c>
      <c r="J16" s="23">
        <v>5.0</v>
      </c>
      <c r="K16" s="22">
        <f t="shared" si="6"/>
        <v>3100</v>
      </c>
      <c r="L16" s="24">
        <f t="shared" si="7"/>
        <v>1854.1</v>
      </c>
      <c r="M16" s="25">
        <f t="shared" si="8"/>
        <v>3100</v>
      </c>
      <c r="N16" s="25">
        <f t="shared" si="9"/>
        <v>563.5</v>
      </c>
      <c r="O16" s="25">
        <f t="shared" si="10"/>
        <v>2536.5</v>
      </c>
      <c r="P16" s="26">
        <f t="shared" si="11"/>
        <v>0.2690321309</v>
      </c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ht="12.75" customHeight="1">
      <c r="A17" s="28" t="s">
        <v>33</v>
      </c>
      <c r="B17" s="28">
        <v>6.009888657522E12</v>
      </c>
      <c r="C17" s="29">
        <f t="shared" si="1"/>
        <v>337.1304348</v>
      </c>
      <c r="D17" s="29">
        <v>387.7</v>
      </c>
      <c r="E17" s="29">
        <f t="shared" si="2"/>
        <v>565.2173913</v>
      </c>
      <c r="F17" s="29">
        <v>650.0</v>
      </c>
      <c r="G17" s="29">
        <f t="shared" si="3"/>
        <v>41.4</v>
      </c>
      <c r="H17" s="29">
        <f t="shared" si="4"/>
        <v>74.75</v>
      </c>
      <c r="I17" s="29">
        <f t="shared" si="5"/>
        <v>116.15</v>
      </c>
      <c r="J17" s="30">
        <v>4.0</v>
      </c>
      <c r="K17" s="29">
        <f t="shared" si="6"/>
        <v>2600</v>
      </c>
      <c r="L17" s="31">
        <f t="shared" si="7"/>
        <v>1550.8</v>
      </c>
      <c r="M17" s="32">
        <f t="shared" si="8"/>
        <v>2600</v>
      </c>
      <c r="N17" s="32">
        <f t="shared" si="9"/>
        <v>464.6</v>
      </c>
      <c r="O17" s="32">
        <f t="shared" si="10"/>
        <v>2135.4</v>
      </c>
      <c r="P17" s="33">
        <f t="shared" si="11"/>
        <v>0.2737660391</v>
      </c>
      <c r="Q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ht="12.75" customHeight="1">
      <c r="A18" s="21" t="s">
        <v>34</v>
      </c>
      <c r="B18" s="21">
        <v>6.009888657485E12</v>
      </c>
      <c r="C18" s="22">
        <f t="shared" si="1"/>
        <v>378.6</v>
      </c>
      <c r="D18" s="22">
        <v>435.39</v>
      </c>
      <c r="E18" s="22">
        <f t="shared" si="2"/>
        <v>634.7826087</v>
      </c>
      <c r="F18" s="22">
        <v>730.0</v>
      </c>
      <c r="G18" s="22">
        <f t="shared" si="3"/>
        <v>41.4</v>
      </c>
      <c r="H18" s="22">
        <f t="shared" si="4"/>
        <v>83.95</v>
      </c>
      <c r="I18" s="22">
        <f t="shared" si="5"/>
        <v>125.35</v>
      </c>
      <c r="J18" s="23">
        <v>7.0</v>
      </c>
      <c r="K18" s="22">
        <f t="shared" si="6"/>
        <v>5110</v>
      </c>
      <c r="L18" s="24">
        <f t="shared" si="7"/>
        <v>3047.73</v>
      </c>
      <c r="M18" s="25">
        <f t="shared" si="8"/>
        <v>5110</v>
      </c>
      <c r="N18" s="25">
        <f t="shared" si="9"/>
        <v>877.45</v>
      </c>
      <c r="O18" s="25">
        <f t="shared" si="10"/>
        <v>4232.55</v>
      </c>
      <c r="P18" s="26">
        <f t="shared" si="11"/>
        <v>0.2799305383</v>
      </c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ht="12.75" customHeight="1">
      <c r="A19" s="28" t="s">
        <v>35</v>
      </c>
      <c r="B19" s="28">
        <v>6.009888657539E12</v>
      </c>
      <c r="C19" s="29">
        <f t="shared" si="1"/>
        <v>471.9478261</v>
      </c>
      <c r="D19" s="29">
        <v>542.74</v>
      </c>
      <c r="E19" s="29">
        <f t="shared" si="2"/>
        <v>782.6086957</v>
      </c>
      <c r="F19" s="29">
        <v>900.0</v>
      </c>
      <c r="G19" s="29">
        <f t="shared" si="3"/>
        <v>41.4</v>
      </c>
      <c r="H19" s="29">
        <f t="shared" si="4"/>
        <v>103.5</v>
      </c>
      <c r="I19" s="29">
        <f t="shared" si="5"/>
        <v>144.9</v>
      </c>
      <c r="J19" s="30">
        <v>1.0</v>
      </c>
      <c r="K19" s="29">
        <f t="shared" si="6"/>
        <v>900</v>
      </c>
      <c r="L19" s="31">
        <f t="shared" si="7"/>
        <v>542.74</v>
      </c>
      <c r="M19" s="32">
        <f t="shared" si="8"/>
        <v>900</v>
      </c>
      <c r="N19" s="32">
        <f t="shared" si="9"/>
        <v>144.9</v>
      </c>
      <c r="O19" s="32">
        <f t="shared" si="10"/>
        <v>755.1</v>
      </c>
      <c r="P19" s="33">
        <f t="shared" si="11"/>
        <v>0.2812342736</v>
      </c>
      <c r="Q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ht="12.75" customHeight="1">
      <c r="A20" s="21" t="s">
        <v>36</v>
      </c>
      <c r="B20" s="21">
        <v>6.009888657492E12</v>
      </c>
      <c r="C20" s="22">
        <f t="shared" si="1"/>
        <v>457.4086957</v>
      </c>
      <c r="D20" s="22">
        <v>526.02</v>
      </c>
      <c r="E20" s="22">
        <f t="shared" si="2"/>
        <v>765.2173913</v>
      </c>
      <c r="F20" s="22">
        <v>880.0</v>
      </c>
      <c r="G20" s="22">
        <f t="shared" si="3"/>
        <v>41.4</v>
      </c>
      <c r="H20" s="22">
        <f t="shared" si="4"/>
        <v>101.2</v>
      </c>
      <c r="I20" s="22">
        <f t="shared" si="5"/>
        <v>142.6</v>
      </c>
      <c r="J20" s="23">
        <v>1.0</v>
      </c>
      <c r="K20" s="22">
        <f t="shared" si="6"/>
        <v>880</v>
      </c>
      <c r="L20" s="24">
        <f t="shared" si="7"/>
        <v>526.02</v>
      </c>
      <c r="M20" s="25">
        <f t="shared" si="8"/>
        <v>880</v>
      </c>
      <c r="N20" s="25">
        <f t="shared" si="9"/>
        <v>142.6</v>
      </c>
      <c r="O20" s="25">
        <f t="shared" si="10"/>
        <v>737.4</v>
      </c>
      <c r="P20" s="26">
        <f t="shared" si="11"/>
        <v>0.2866558177</v>
      </c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ht="12.75" customHeight="1">
      <c r="A21" s="28" t="s">
        <v>37</v>
      </c>
      <c r="B21" s="28">
        <v>6.009888657553E12</v>
      </c>
      <c r="C21" s="29">
        <f t="shared" si="1"/>
        <v>560.6434783</v>
      </c>
      <c r="D21" s="29">
        <v>644.74</v>
      </c>
      <c r="E21" s="29">
        <f t="shared" si="2"/>
        <v>939.1304348</v>
      </c>
      <c r="F21" s="29">
        <v>1080.0</v>
      </c>
      <c r="G21" s="29">
        <f t="shared" si="3"/>
        <v>41.4</v>
      </c>
      <c r="H21" s="29">
        <f t="shared" si="4"/>
        <v>124.2</v>
      </c>
      <c r="I21" s="29">
        <f t="shared" si="5"/>
        <v>165.6</v>
      </c>
      <c r="J21" s="30">
        <v>0.0</v>
      </c>
      <c r="K21" s="29">
        <f t="shared" si="6"/>
        <v>0</v>
      </c>
      <c r="L21" s="31">
        <f t="shared" si="7"/>
        <v>0</v>
      </c>
      <c r="M21" s="32">
        <f t="shared" si="8"/>
        <v>0</v>
      </c>
      <c r="N21" s="32">
        <f t="shared" si="9"/>
        <v>0</v>
      </c>
      <c r="O21" s="32">
        <f t="shared" si="10"/>
        <v>0</v>
      </c>
      <c r="P21" s="33" t="str">
        <f t="shared" si="11"/>
        <v>#DIV/0!</v>
      </c>
      <c r="Q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</row>
    <row r="22" ht="12.75" customHeight="1">
      <c r="A22" s="21" t="s">
        <v>38</v>
      </c>
      <c r="B22" s="21">
        <v>6.009888657577E12</v>
      </c>
      <c r="C22" s="22">
        <f t="shared" si="1"/>
        <v>759.0521739</v>
      </c>
      <c r="D22" s="22">
        <v>872.91</v>
      </c>
      <c r="E22" s="22">
        <f t="shared" si="2"/>
        <v>1130.434783</v>
      </c>
      <c r="F22" s="22">
        <v>1300.0</v>
      </c>
      <c r="G22" s="34"/>
      <c r="H22" s="22">
        <f t="shared" si="4"/>
        <v>149.5</v>
      </c>
      <c r="I22" s="22">
        <f t="shared" si="5"/>
        <v>149.5</v>
      </c>
      <c r="J22" s="23">
        <v>1.0</v>
      </c>
      <c r="K22" s="22">
        <f t="shared" si="6"/>
        <v>1300</v>
      </c>
      <c r="L22" s="24">
        <f t="shared" si="7"/>
        <v>872.91</v>
      </c>
      <c r="M22" s="25">
        <f t="shared" si="8"/>
        <v>1300</v>
      </c>
      <c r="N22" s="25">
        <f t="shared" si="9"/>
        <v>149.5</v>
      </c>
      <c r="O22" s="25">
        <f t="shared" si="10"/>
        <v>1150.5</v>
      </c>
      <c r="P22" s="26">
        <f t="shared" si="11"/>
        <v>0.2412777053</v>
      </c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ht="12.75" customHeight="1">
      <c r="A23" s="28" t="s">
        <v>39</v>
      </c>
      <c r="B23" s="28">
        <v>6.00988865756E12</v>
      </c>
      <c r="C23" s="29">
        <f t="shared" si="1"/>
        <v>606.3304348</v>
      </c>
      <c r="D23" s="29">
        <v>697.28</v>
      </c>
      <c r="E23" s="29">
        <f t="shared" si="2"/>
        <v>1008.695652</v>
      </c>
      <c r="F23" s="29">
        <v>1160.0</v>
      </c>
      <c r="G23" s="29">
        <f t="shared" ref="G23:G41" si="12">36*1.15</f>
        <v>41.4</v>
      </c>
      <c r="H23" s="29">
        <f t="shared" si="4"/>
        <v>133.4</v>
      </c>
      <c r="I23" s="29">
        <f t="shared" si="5"/>
        <v>174.8</v>
      </c>
      <c r="J23" s="30">
        <v>2.0</v>
      </c>
      <c r="K23" s="29">
        <f t="shared" si="6"/>
        <v>2320</v>
      </c>
      <c r="L23" s="31">
        <f t="shared" si="7"/>
        <v>1394.56</v>
      </c>
      <c r="M23" s="32">
        <f t="shared" si="8"/>
        <v>2320</v>
      </c>
      <c r="N23" s="32">
        <f t="shared" si="9"/>
        <v>349.6</v>
      </c>
      <c r="O23" s="32">
        <f t="shared" si="10"/>
        <v>1970.4</v>
      </c>
      <c r="P23" s="33">
        <f t="shared" si="11"/>
        <v>0.2922452294</v>
      </c>
      <c r="Q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ht="12.75" customHeight="1">
      <c r="A24" s="21" t="s">
        <v>40</v>
      </c>
      <c r="B24" s="21">
        <v>6.009888657508E12</v>
      </c>
      <c r="C24" s="22">
        <f t="shared" si="1"/>
        <v>506.5826087</v>
      </c>
      <c r="D24" s="22">
        <v>582.57</v>
      </c>
      <c r="E24" s="22">
        <f t="shared" si="2"/>
        <v>808.6956522</v>
      </c>
      <c r="F24" s="22">
        <v>930.0</v>
      </c>
      <c r="G24" s="22">
        <f t="shared" si="12"/>
        <v>41.4</v>
      </c>
      <c r="H24" s="22">
        <f t="shared" si="4"/>
        <v>106.95</v>
      </c>
      <c r="I24" s="22">
        <f t="shared" si="5"/>
        <v>148.35</v>
      </c>
      <c r="J24" s="23">
        <v>2.0</v>
      </c>
      <c r="K24" s="22">
        <f t="shared" si="6"/>
        <v>1860</v>
      </c>
      <c r="L24" s="24">
        <f t="shared" si="7"/>
        <v>1165.14</v>
      </c>
      <c r="M24" s="25">
        <f t="shared" si="8"/>
        <v>1860</v>
      </c>
      <c r="N24" s="25">
        <f t="shared" si="9"/>
        <v>296.7</v>
      </c>
      <c r="O24" s="25">
        <f t="shared" si="10"/>
        <v>1563.3</v>
      </c>
      <c r="P24" s="26">
        <f t="shared" si="11"/>
        <v>0.2546919977</v>
      </c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ht="12.75" customHeight="1">
      <c r="A25" s="28" t="s">
        <v>41</v>
      </c>
      <c r="B25" s="28">
        <v>6.009888657546E12</v>
      </c>
      <c r="C25" s="29">
        <f t="shared" si="1"/>
        <v>491.4434783</v>
      </c>
      <c r="D25" s="29">
        <v>565.16</v>
      </c>
      <c r="E25" s="29">
        <f t="shared" si="2"/>
        <v>817.3913043</v>
      </c>
      <c r="F25" s="29">
        <v>940.0</v>
      </c>
      <c r="G25" s="29">
        <f t="shared" si="12"/>
        <v>41.4</v>
      </c>
      <c r="H25" s="29">
        <f t="shared" si="4"/>
        <v>108.1</v>
      </c>
      <c r="I25" s="29">
        <f t="shared" si="5"/>
        <v>149.5</v>
      </c>
      <c r="J25" s="30">
        <v>0.0</v>
      </c>
      <c r="K25" s="29">
        <f t="shared" si="6"/>
        <v>0</v>
      </c>
      <c r="L25" s="31">
        <f t="shared" si="7"/>
        <v>0</v>
      </c>
      <c r="M25" s="32">
        <f t="shared" si="8"/>
        <v>0</v>
      </c>
      <c r="N25" s="32">
        <f t="shared" si="9"/>
        <v>0</v>
      </c>
      <c r="O25" s="32">
        <f t="shared" si="10"/>
        <v>0</v>
      </c>
      <c r="P25" s="33" t="str">
        <f t="shared" si="11"/>
        <v>#DIV/0!</v>
      </c>
      <c r="Q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ht="12.75" customHeight="1">
      <c r="A26" s="21" t="s">
        <v>42</v>
      </c>
      <c r="B26" s="21">
        <v>6.009888657591E12</v>
      </c>
      <c r="C26" s="22">
        <f t="shared" si="1"/>
        <v>827.826087</v>
      </c>
      <c r="D26" s="22">
        <v>952.0</v>
      </c>
      <c r="E26" s="22">
        <f t="shared" si="2"/>
        <v>1304.347826</v>
      </c>
      <c r="F26" s="22">
        <v>1500.0</v>
      </c>
      <c r="G26" s="22">
        <f t="shared" si="12"/>
        <v>41.4</v>
      </c>
      <c r="H26" s="22">
        <f t="shared" ref="H26:H41" si="13">(F26*14%)*1.15</f>
        <v>241.5</v>
      </c>
      <c r="I26" s="22">
        <f t="shared" si="5"/>
        <v>282.9</v>
      </c>
      <c r="J26" s="23">
        <v>0.0</v>
      </c>
      <c r="K26" s="22">
        <f t="shared" si="6"/>
        <v>0</v>
      </c>
      <c r="L26" s="24">
        <f t="shared" si="7"/>
        <v>0</v>
      </c>
      <c r="M26" s="25">
        <f t="shared" si="8"/>
        <v>0</v>
      </c>
      <c r="N26" s="25">
        <f t="shared" si="9"/>
        <v>0</v>
      </c>
      <c r="O26" s="25">
        <f t="shared" si="10"/>
        <v>0</v>
      </c>
      <c r="P26" s="26" t="str">
        <f t="shared" si="11"/>
        <v>#DIV/0!</v>
      </c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ht="12.75" customHeight="1">
      <c r="A27" s="28" t="s">
        <v>43</v>
      </c>
      <c r="B27" s="28">
        <v>6.009888657607E12</v>
      </c>
      <c r="C27" s="29">
        <f t="shared" si="1"/>
        <v>133.8434783</v>
      </c>
      <c r="D27" s="29">
        <v>153.92</v>
      </c>
      <c r="E27" s="29">
        <f t="shared" si="2"/>
        <v>217.3913043</v>
      </c>
      <c r="F27" s="29">
        <v>250.0</v>
      </c>
      <c r="G27" s="29">
        <f t="shared" si="12"/>
        <v>41.4</v>
      </c>
      <c r="H27" s="29">
        <f t="shared" si="13"/>
        <v>40.25</v>
      </c>
      <c r="I27" s="29">
        <f t="shared" si="5"/>
        <v>81.65</v>
      </c>
      <c r="J27" s="30">
        <v>8.0</v>
      </c>
      <c r="K27" s="29">
        <f t="shared" si="6"/>
        <v>2000</v>
      </c>
      <c r="L27" s="31">
        <f t="shared" si="7"/>
        <v>1231.36</v>
      </c>
      <c r="M27" s="32">
        <f t="shared" si="8"/>
        <v>2000</v>
      </c>
      <c r="N27" s="32">
        <f t="shared" si="9"/>
        <v>653.2</v>
      </c>
      <c r="O27" s="32">
        <f t="shared" si="10"/>
        <v>1346.8</v>
      </c>
      <c r="P27" s="33">
        <f t="shared" si="11"/>
        <v>0.08571428571</v>
      </c>
      <c r="Q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ht="12.75" customHeight="1">
      <c r="A28" s="21" t="s">
        <v>44</v>
      </c>
      <c r="B28" s="21">
        <v>6.009888657614E12</v>
      </c>
      <c r="C28" s="22">
        <f t="shared" si="1"/>
        <v>131.973913</v>
      </c>
      <c r="D28" s="22">
        <v>151.77</v>
      </c>
      <c r="E28" s="22">
        <f t="shared" si="2"/>
        <v>269.5652174</v>
      </c>
      <c r="F28" s="22">
        <v>310.0</v>
      </c>
      <c r="G28" s="22">
        <f t="shared" si="12"/>
        <v>41.4</v>
      </c>
      <c r="H28" s="22">
        <f t="shared" si="13"/>
        <v>49.91</v>
      </c>
      <c r="I28" s="22">
        <f t="shared" si="5"/>
        <v>91.31</v>
      </c>
      <c r="J28" s="23">
        <v>0.0</v>
      </c>
      <c r="K28" s="22">
        <f t="shared" si="6"/>
        <v>0</v>
      </c>
      <c r="L28" s="24">
        <f t="shared" si="7"/>
        <v>0</v>
      </c>
      <c r="M28" s="25">
        <f t="shared" si="8"/>
        <v>0</v>
      </c>
      <c r="N28" s="25">
        <f t="shared" si="9"/>
        <v>0</v>
      </c>
      <c r="O28" s="25">
        <f t="shared" si="10"/>
        <v>0</v>
      </c>
      <c r="P28" s="26" t="str">
        <f t="shared" si="11"/>
        <v>#DIV/0!</v>
      </c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ht="12.75" customHeight="1">
      <c r="A29" s="28" t="s">
        <v>45</v>
      </c>
      <c r="B29" s="28">
        <v>6.009888657621E12</v>
      </c>
      <c r="C29" s="29">
        <f t="shared" si="1"/>
        <v>164.7043478</v>
      </c>
      <c r="D29" s="29">
        <v>189.41</v>
      </c>
      <c r="E29" s="29">
        <f t="shared" si="2"/>
        <v>295.6521739</v>
      </c>
      <c r="F29" s="29">
        <v>340.0</v>
      </c>
      <c r="G29" s="29">
        <f t="shared" si="12"/>
        <v>41.4</v>
      </c>
      <c r="H29" s="29">
        <f t="shared" si="13"/>
        <v>54.74</v>
      </c>
      <c r="I29" s="29">
        <f t="shared" si="5"/>
        <v>96.14</v>
      </c>
      <c r="J29" s="30">
        <v>2.0</v>
      </c>
      <c r="K29" s="29">
        <f t="shared" si="6"/>
        <v>680</v>
      </c>
      <c r="L29" s="31">
        <f t="shared" si="7"/>
        <v>378.82</v>
      </c>
      <c r="M29" s="32">
        <f t="shared" si="8"/>
        <v>680</v>
      </c>
      <c r="N29" s="32">
        <f t="shared" si="9"/>
        <v>192.28</v>
      </c>
      <c r="O29" s="32">
        <f t="shared" si="10"/>
        <v>487.72</v>
      </c>
      <c r="P29" s="33">
        <f t="shared" si="11"/>
        <v>0.2232838514</v>
      </c>
      <c r="Q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ht="12.75" customHeight="1">
      <c r="A30" s="21" t="s">
        <v>46</v>
      </c>
      <c r="B30" s="21">
        <v>6.009888657669E12</v>
      </c>
      <c r="C30" s="22">
        <f t="shared" si="1"/>
        <v>175.0173913</v>
      </c>
      <c r="D30" s="22">
        <v>201.27</v>
      </c>
      <c r="E30" s="22">
        <f t="shared" si="2"/>
        <v>286.9565217</v>
      </c>
      <c r="F30" s="22">
        <v>330.0</v>
      </c>
      <c r="G30" s="22">
        <f t="shared" si="12"/>
        <v>41.4</v>
      </c>
      <c r="H30" s="22">
        <f t="shared" si="13"/>
        <v>53.13</v>
      </c>
      <c r="I30" s="22">
        <f t="shared" si="5"/>
        <v>94.53</v>
      </c>
      <c r="J30" s="23">
        <v>3.0</v>
      </c>
      <c r="K30" s="22">
        <f t="shared" si="6"/>
        <v>990</v>
      </c>
      <c r="L30" s="24">
        <f t="shared" si="7"/>
        <v>603.81</v>
      </c>
      <c r="M30" s="25">
        <f t="shared" si="8"/>
        <v>990</v>
      </c>
      <c r="N30" s="25">
        <f t="shared" si="9"/>
        <v>283.59</v>
      </c>
      <c r="O30" s="25">
        <f t="shared" si="10"/>
        <v>706.41</v>
      </c>
      <c r="P30" s="26">
        <f t="shared" si="11"/>
        <v>0.145241432</v>
      </c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ht="12.75" customHeight="1">
      <c r="A31" s="28" t="s">
        <v>47</v>
      </c>
      <c r="B31" s="28">
        <v>6.009888657676E12</v>
      </c>
      <c r="C31" s="29">
        <f t="shared" si="1"/>
        <v>212.1217391</v>
      </c>
      <c r="D31" s="29">
        <v>243.94</v>
      </c>
      <c r="E31" s="29">
        <f t="shared" si="2"/>
        <v>347.826087</v>
      </c>
      <c r="F31" s="29">
        <v>400.0</v>
      </c>
      <c r="G31" s="29">
        <f t="shared" si="12"/>
        <v>41.4</v>
      </c>
      <c r="H31" s="29">
        <f t="shared" si="13"/>
        <v>64.4</v>
      </c>
      <c r="I31" s="29">
        <f t="shared" si="5"/>
        <v>105.8</v>
      </c>
      <c r="J31" s="30">
        <v>0.0</v>
      </c>
      <c r="K31" s="29">
        <f t="shared" si="6"/>
        <v>0</v>
      </c>
      <c r="L31" s="31">
        <f t="shared" si="7"/>
        <v>0</v>
      </c>
      <c r="M31" s="32">
        <f t="shared" si="8"/>
        <v>0</v>
      </c>
      <c r="N31" s="32">
        <f t="shared" si="9"/>
        <v>0</v>
      </c>
      <c r="O31" s="32">
        <f t="shared" si="10"/>
        <v>0</v>
      </c>
      <c r="P31" s="33" t="str">
        <f t="shared" si="11"/>
        <v>#DIV/0!</v>
      </c>
      <c r="Q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ht="12.75" customHeight="1">
      <c r="A32" s="21" t="s">
        <v>48</v>
      </c>
      <c r="B32" s="21">
        <v>6.009888657683E12</v>
      </c>
      <c r="C32" s="22">
        <f t="shared" si="1"/>
        <v>199.7826087</v>
      </c>
      <c r="D32" s="22">
        <v>229.75</v>
      </c>
      <c r="E32" s="22">
        <f t="shared" si="2"/>
        <v>347.826087</v>
      </c>
      <c r="F32" s="22">
        <v>400.0</v>
      </c>
      <c r="G32" s="22">
        <f t="shared" si="12"/>
        <v>41.4</v>
      </c>
      <c r="H32" s="22">
        <f t="shared" si="13"/>
        <v>64.4</v>
      </c>
      <c r="I32" s="22">
        <f t="shared" si="5"/>
        <v>105.8</v>
      </c>
      <c r="J32" s="23">
        <v>0.0</v>
      </c>
      <c r="K32" s="22">
        <f t="shared" si="6"/>
        <v>0</v>
      </c>
      <c r="L32" s="24">
        <f t="shared" si="7"/>
        <v>0</v>
      </c>
      <c r="M32" s="25">
        <f t="shared" si="8"/>
        <v>0</v>
      </c>
      <c r="N32" s="25">
        <f t="shared" si="9"/>
        <v>0</v>
      </c>
      <c r="O32" s="25">
        <f t="shared" si="10"/>
        <v>0</v>
      </c>
      <c r="P32" s="26" t="str">
        <f t="shared" si="11"/>
        <v>#DIV/0!</v>
      </c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ht="12.75" customHeight="1">
      <c r="A33" s="28" t="s">
        <v>49</v>
      </c>
      <c r="B33" s="28">
        <v>6.00988865769E12</v>
      </c>
      <c r="C33" s="29">
        <f t="shared" si="1"/>
        <v>1064.043478</v>
      </c>
      <c r="D33" s="29">
        <v>1223.65</v>
      </c>
      <c r="E33" s="29">
        <f t="shared" si="2"/>
        <v>1652.173913</v>
      </c>
      <c r="F33" s="29">
        <v>1900.0</v>
      </c>
      <c r="G33" s="29">
        <f t="shared" si="12"/>
        <v>41.4</v>
      </c>
      <c r="H33" s="29">
        <f t="shared" si="13"/>
        <v>305.9</v>
      </c>
      <c r="I33" s="29">
        <f t="shared" si="5"/>
        <v>347.3</v>
      </c>
      <c r="J33" s="30">
        <v>0.0</v>
      </c>
      <c r="K33" s="29">
        <f t="shared" si="6"/>
        <v>0</v>
      </c>
      <c r="L33" s="31">
        <f t="shared" si="7"/>
        <v>0</v>
      </c>
      <c r="M33" s="32">
        <f t="shared" si="8"/>
        <v>0</v>
      </c>
      <c r="N33" s="32">
        <f t="shared" si="9"/>
        <v>0</v>
      </c>
      <c r="O33" s="32">
        <f t="shared" si="10"/>
        <v>0</v>
      </c>
      <c r="P33" s="33" t="str">
        <f t="shared" si="11"/>
        <v>#DIV/0!</v>
      </c>
      <c r="Q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ht="12.75" customHeight="1">
      <c r="A34" s="21" t="s">
        <v>50</v>
      </c>
      <c r="B34" s="21">
        <v>6.009888657706E12</v>
      </c>
      <c r="C34" s="22">
        <f t="shared" si="1"/>
        <v>174.2</v>
      </c>
      <c r="D34" s="22">
        <v>200.33</v>
      </c>
      <c r="E34" s="22">
        <f t="shared" si="2"/>
        <v>286.9565217</v>
      </c>
      <c r="F34" s="35">
        <v>330.0</v>
      </c>
      <c r="G34" s="22">
        <f t="shared" si="12"/>
        <v>41.4</v>
      </c>
      <c r="H34" s="22">
        <f t="shared" si="13"/>
        <v>53.13</v>
      </c>
      <c r="I34" s="22">
        <f t="shared" si="5"/>
        <v>94.53</v>
      </c>
      <c r="J34" s="23">
        <v>0.0</v>
      </c>
      <c r="K34" s="22">
        <f t="shared" si="6"/>
        <v>0</v>
      </c>
      <c r="L34" s="24">
        <f t="shared" si="7"/>
        <v>0</v>
      </c>
      <c r="M34" s="25">
        <f t="shared" si="8"/>
        <v>0</v>
      </c>
      <c r="N34" s="25">
        <f t="shared" si="9"/>
        <v>0</v>
      </c>
      <c r="O34" s="25">
        <f t="shared" si="10"/>
        <v>0</v>
      </c>
      <c r="P34" s="26" t="str">
        <f t="shared" si="11"/>
        <v>#DIV/0!</v>
      </c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ht="12.75" customHeight="1">
      <c r="A35" s="28" t="s">
        <v>51</v>
      </c>
      <c r="B35" s="28">
        <v>6.009888657713E12</v>
      </c>
      <c r="C35" s="29">
        <f t="shared" si="1"/>
        <v>55.73043478</v>
      </c>
      <c r="D35" s="29">
        <v>64.09</v>
      </c>
      <c r="E35" s="29">
        <f t="shared" si="2"/>
        <v>95.65217391</v>
      </c>
      <c r="F35" s="29">
        <v>110.0</v>
      </c>
      <c r="G35" s="29">
        <f t="shared" si="12"/>
        <v>41.4</v>
      </c>
      <c r="H35" s="29">
        <f t="shared" si="13"/>
        <v>17.71</v>
      </c>
      <c r="I35" s="29">
        <f t="shared" si="5"/>
        <v>59.11</v>
      </c>
      <c r="J35" s="30">
        <v>23.0</v>
      </c>
      <c r="K35" s="29">
        <f t="shared" si="6"/>
        <v>2530</v>
      </c>
      <c r="L35" s="31">
        <f t="shared" si="7"/>
        <v>1474.07</v>
      </c>
      <c r="M35" s="32">
        <f t="shared" si="8"/>
        <v>2530</v>
      </c>
      <c r="N35" s="32">
        <f t="shared" si="9"/>
        <v>1359.53</v>
      </c>
      <c r="O35" s="32">
        <f t="shared" si="10"/>
        <v>1170.47</v>
      </c>
      <c r="P35" s="33">
        <f t="shared" si="11"/>
        <v>-0.2593829829</v>
      </c>
      <c r="Q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ht="12.75" customHeight="1">
      <c r="A36" s="21" t="s">
        <v>52</v>
      </c>
      <c r="B36" s="21">
        <v>6.00988865772E12</v>
      </c>
      <c r="C36" s="22">
        <f t="shared" si="1"/>
        <v>73.45217391</v>
      </c>
      <c r="D36" s="22">
        <v>84.47</v>
      </c>
      <c r="E36" s="22">
        <f t="shared" si="2"/>
        <v>139.1304348</v>
      </c>
      <c r="F36" s="22">
        <v>160.0</v>
      </c>
      <c r="G36" s="22">
        <f t="shared" si="12"/>
        <v>41.4</v>
      </c>
      <c r="H36" s="22">
        <f t="shared" si="13"/>
        <v>25.76</v>
      </c>
      <c r="I36" s="22">
        <f t="shared" si="5"/>
        <v>67.16</v>
      </c>
      <c r="J36" s="23">
        <v>2.0</v>
      </c>
      <c r="K36" s="22">
        <f t="shared" si="6"/>
        <v>320</v>
      </c>
      <c r="L36" s="24">
        <f t="shared" si="7"/>
        <v>168.94</v>
      </c>
      <c r="M36" s="25">
        <f t="shared" si="8"/>
        <v>320</v>
      </c>
      <c r="N36" s="25">
        <f t="shared" si="9"/>
        <v>134.32</v>
      </c>
      <c r="O36" s="25">
        <f t="shared" si="10"/>
        <v>185.68</v>
      </c>
      <c r="P36" s="26">
        <f t="shared" si="11"/>
        <v>0.09015510556</v>
      </c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ht="12.75" customHeight="1">
      <c r="A37" s="28" t="s">
        <v>53</v>
      </c>
      <c r="B37" s="28">
        <v>6.009888657744E12</v>
      </c>
      <c r="C37" s="29">
        <f t="shared" si="1"/>
        <v>111.0782609</v>
      </c>
      <c r="D37" s="29">
        <v>127.74</v>
      </c>
      <c r="E37" s="29">
        <f t="shared" si="2"/>
        <v>191.3043478</v>
      </c>
      <c r="F37" s="29">
        <v>220.0</v>
      </c>
      <c r="G37" s="29">
        <f t="shared" si="12"/>
        <v>41.4</v>
      </c>
      <c r="H37" s="29">
        <f t="shared" si="13"/>
        <v>35.42</v>
      </c>
      <c r="I37" s="29">
        <f t="shared" si="5"/>
        <v>76.82</v>
      </c>
      <c r="J37" s="30">
        <v>11.0</v>
      </c>
      <c r="K37" s="29">
        <f t="shared" si="6"/>
        <v>2420</v>
      </c>
      <c r="L37" s="31">
        <f t="shared" si="7"/>
        <v>1405.14</v>
      </c>
      <c r="M37" s="32">
        <f t="shared" si="8"/>
        <v>2420</v>
      </c>
      <c r="N37" s="32">
        <f t="shared" si="9"/>
        <v>845.02</v>
      </c>
      <c r="O37" s="32">
        <f t="shared" si="10"/>
        <v>1574.98</v>
      </c>
      <c r="P37" s="33">
        <f t="shared" si="11"/>
        <v>0.10783629</v>
      </c>
      <c r="Q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ht="12.75" customHeight="1">
      <c r="A38" s="21" t="s">
        <v>54</v>
      </c>
      <c r="B38" s="21">
        <v>6.009888657737E12</v>
      </c>
      <c r="C38" s="22">
        <f t="shared" si="1"/>
        <v>87.3826087</v>
      </c>
      <c r="D38" s="22">
        <v>100.49</v>
      </c>
      <c r="E38" s="22">
        <f t="shared" si="2"/>
        <v>147.826087</v>
      </c>
      <c r="F38" s="22">
        <v>170.0</v>
      </c>
      <c r="G38" s="22">
        <f t="shared" si="12"/>
        <v>41.4</v>
      </c>
      <c r="H38" s="22">
        <f t="shared" si="13"/>
        <v>27.37</v>
      </c>
      <c r="I38" s="22">
        <f t="shared" si="5"/>
        <v>68.77</v>
      </c>
      <c r="J38" s="23">
        <v>14.0</v>
      </c>
      <c r="K38" s="22">
        <f t="shared" si="6"/>
        <v>2380</v>
      </c>
      <c r="L38" s="24">
        <f t="shared" si="7"/>
        <v>1406.86</v>
      </c>
      <c r="M38" s="25">
        <f t="shared" si="8"/>
        <v>2380</v>
      </c>
      <c r="N38" s="25">
        <f t="shared" si="9"/>
        <v>962.78</v>
      </c>
      <c r="O38" s="25">
        <f t="shared" si="10"/>
        <v>1417.22</v>
      </c>
      <c r="P38" s="26">
        <f t="shared" si="11"/>
        <v>0.007310085943</v>
      </c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ht="12.75" customHeight="1">
      <c r="A39" s="28" t="s">
        <v>55</v>
      </c>
      <c r="B39" s="28">
        <v>6.009888657751E12</v>
      </c>
      <c r="C39" s="29">
        <f t="shared" si="1"/>
        <v>1759.643478</v>
      </c>
      <c r="D39" s="29">
        <v>2023.59</v>
      </c>
      <c r="E39" s="29">
        <f t="shared" si="2"/>
        <v>2608.695652</v>
      </c>
      <c r="F39" s="29">
        <v>3000.0</v>
      </c>
      <c r="G39" s="29">
        <f t="shared" si="12"/>
        <v>41.4</v>
      </c>
      <c r="H39" s="29">
        <f t="shared" si="13"/>
        <v>483</v>
      </c>
      <c r="I39" s="29">
        <f t="shared" si="5"/>
        <v>524.4</v>
      </c>
      <c r="J39" s="30">
        <v>2.0</v>
      </c>
      <c r="K39" s="29">
        <f t="shared" si="6"/>
        <v>6000</v>
      </c>
      <c r="L39" s="31">
        <f t="shared" si="7"/>
        <v>4047.18</v>
      </c>
      <c r="M39" s="32">
        <f t="shared" si="8"/>
        <v>6000</v>
      </c>
      <c r="N39" s="32">
        <f t="shared" si="9"/>
        <v>1048.8</v>
      </c>
      <c r="O39" s="32">
        <f t="shared" si="10"/>
        <v>4951.2</v>
      </c>
      <c r="P39" s="33">
        <f t="shared" si="11"/>
        <v>0.1825860397</v>
      </c>
      <c r="Q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ht="12.75" customHeight="1">
      <c r="A40" s="21" t="s">
        <v>56</v>
      </c>
      <c r="B40" s="21">
        <v>6.009888657768E12</v>
      </c>
      <c r="C40" s="22">
        <f t="shared" si="1"/>
        <v>209.5826087</v>
      </c>
      <c r="D40" s="22">
        <v>241.02</v>
      </c>
      <c r="E40" s="22">
        <f t="shared" si="2"/>
        <v>347.826087</v>
      </c>
      <c r="F40" s="22">
        <v>400.0</v>
      </c>
      <c r="G40" s="22">
        <f t="shared" si="12"/>
        <v>41.4</v>
      </c>
      <c r="H40" s="22">
        <f t="shared" si="13"/>
        <v>64.4</v>
      </c>
      <c r="I40" s="22">
        <f t="shared" si="5"/>
        <v>105.8</v>
      </c>
      <c r="J40" s="23">
        <v>19.0</v>
      </c>
      <c r="K40" s="22">
        <f t="shared" si="6"/>
        <v>7600</v>
      </c>
      <c r="L40" s="24">
        <f t="shared" si="7"/>
        <v>4579.38</v>
      </c>
      <c r="M40" s="25">
        <f t="shared" si="8"/>
        <v>7600</v>
      </c>
      <c r="N40" s="25">
        <f t="shared" si="9"/>
        <v>2010.2</v>
      </c>
      <c r="O40" s="25">
        <f t="shared" si="10"/>
        <v>5589.8</v>
      </c>
      <c r="P40" s="26">
        <f t="shared" si="11"/>
        <v>0.1807613868</v>
      </c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ht="12.75" customHeight="1">
      <c r="A41" s="28" t="s">
        <v>57</v>
      </c>
      <c r="B41" s="28">
        <v>6.009888657775E12</v>
      </c>
      <c r="C41" s="29">
        <f t="shared" si="1"/>
        <v>320.1217391</v>
      </c>
      <c r="D41" s="29">
        <v>368.14</v>
      </c>
      <c r="E41" s="29">
        <f t="shared" si="2"/>
        <v>539.1304348</v>
      </c>
      <c r="F41" s="29">
        <v>620.0</v>
      </c>
      <c r="G41" s="29">
        <f t="shared" si="12"/>
        <v>41.4</v>
      </c>
      <c r="H41" s="29">
        <f t="shared" si="13"/>
        <v>99.82</v>
      </c>
      <c r="I41" s="29">
        <f t="shared" si="5"/>
        <v>141.22</v>
      </c>
      <c r="J41" s="30">
        <v>17.0</v>
      </c>
      <c r="K41" s="29">
        <f t="shared" si="6"/>
        <v>10540</v>
      </c>
      <c r="L41" s="31">
        <f t="shared" si="7"/>
        <v>6258.38</v>
      </c>
      <c r="M41" s="32">
        <f t="shared" si="8"/>
        <v>10540</v>
      </c>
      <c r="N41" s="32">
        <f t="shared" si="9"/>
        <v>2400.74</v>
      </c>
      <c r="O41" s="32">
        <f t="shared" si="10"/>
        <v>8139.26</v>
      </c>
      <c r="P41" s="33">
        <f t="shared" si="11"/>
        <v>0.231087347</v>
      </c>
      <c r="Q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ht="12.75" customHeight="1">
      <c r="A42" s="21" t="s">
        <v>58</v>
      </c>
      <c r="B42" s="21">
        <v>6.009888657652E12</v>
      </c>
      <c r="C42" s="22">
        <f t="shared" si="1"/>
        <v>4338.973913</v>
      </c>
      <c r="D42" s="22">
        <v>4989.82</v>
      </c>
      <c r="E42" s="22">
        <f t="shared" si="2"/>
        <v>6260.869565</v>
      </c>
      <c r="F42" s="22">
        <v>7200.0</v>
      </c>
      <c r="G42" s="22">
        <f>92*1.15</f>
        <v>105.8</v>
      </c>
      <c r="H42" s="22">
        <f t="shared" ref="H42:H44" si="14">(F42*11%)*1.15</f>
        <v>910.8</v>
      </c>
      <c r="I42" s="22">
        <f t="shared" si="5"/>
        <v>1016.6</v>
      </c>
      <c r="J42" s="23">
        <v>1.0</v>
      </c>
      <c r="K42" s="22">
        <f t="shared" si="6"/>
        <v>7200</v>
      </c>
      <c r="L42" s="24">
        <f t="shared" si="7"/>
        <v>4989.82</v>
      </c>
      <c r="M42" s="25">
        <f t="shared" si="8"/>
        <v>7200</v>
      </c>
      <c r="N42" s="25">
        <f t="shared" si="9"/>
        <v>1016.6</v>
      </c>
      <c r="O42" s="25">
        <f t="shared" si="10"/>
        <v>6183.4</v>
      </c>
      <c r="P42" s="26">
        <f t="shared" si="11"/>
        <v>0.1930297247</v>
      </c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ht="12.75" customHeight="1">
      <c r="A43" s="28" t="s">
        <v>59</v>
      </c>
      <c r="B43" s="28">
        <v>6.009888657645E12</v>
      </c>
      <c r="C43" s="29">
        <f t="shared" si="1"/>
        <v>2279.382609</v>
      </c>
      <c r="D43" s="29">
        <v>2621.29</v>
      </c>
      <c r="E43" s="29">
        <f t="shared" si="2"/>
        <v>3304.347826</v>
      </c>
      <c r="F43" s="29">
        <v>3800.0</v>
      </c>
      <c r="G43" s="29">
        <f>39*1.15</f>
        <v>44.85</v>
      </c>
      <c r="H43" s="29">
        <f t="shared" si="14"/>
        <v>480.7</v>
      </c>
      <c r="I43" s="29">
        <f t="shared" si="5"/>
        <v>525.55</v>
      </c>
      <c r="J43" s="30">
        <v>2.0</v>
      </c>
      <c r="K43" s="29">
        <f t="shared" si="6"/>
        <v>7600</v>
      </c>
      <c r="L43" s="31">
        <f t="shared" si="7"/>
        <v>5242.58</v>
      </c>
      <c r="M43" s="32">
        <f t="shared" si="8"/>
        <v>7600</v>
      </c>
      <c r="N43" s="32">
        <f t="shared" si="9"/>
        <v>1051.1</v>
      </c>
      <c r="O43" s="32">
        <f t="shared" si="10"/>
        <v>6548.9</v>
      </c>
      <c r="P43" s="33">
        <f t="shared" si="11"/>
        <v>0.199471667</v>
      </c>
      <c r="Q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ht="12.75" customHeight="1">
      <c r="A44" s="21" t="s">
        <v>60</v>
      </c>
      <c r="B44" s="21">
        <v>6.009888657638E12</v>
      </c>
      <c r="C44" s="22">
        <f t="shared" si="1"/>
        <v>3766.852174</v>
      </c>
      <c r="D44" s="22">
        <v>4331.88</v>
      </c>
      <c r="E44" s="22">
        <f t="shared" si="2"/>
        <v>5478.26087</v>
      </c>
      <c r="F44" s="22">
        <v>6300.0</v>
      </c>
      <c r="G44" s="22">
        <f>100*1.15</f>
        <v>115</v>
      </c>
      <c r="H44" s="22">
        <f t="shared" si="14"/>
        <v>796.95</v>
      </c>
      <c r="I44" s="22">
        <f t="shared" si="5"/>
        <v>911.95</v>
      </c>
      <c r="J44" s="23">
        <v>1.0</v>
      </c>
      <c r="K44" s="22">
        <f t="shared" si="6"/>
        <v>6300</v>
      </c>
      <c r="L44" s="24">
        <f t="shared" si="7"/>
        <v>4331.88</v>
      </c>
      <c r="M44" s="25">
        <f t="shared" si="8"/>
        <v>6300</v>
      </c>
      <c r="N44" s="25">
        <f t="shared" si="9"/>
        <v>911.95</v>
      </c>
      <c r="O44" s="25">
        <f t="shared" si="10"/>
        <v>5388.05</v>
      </c>
      <c r="P44" s="26">
        <f t="shared" si="11"/>
        <v>0.1960208239</v>
      </c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ht="12.75" customHeight="1">
      <c r="A45" s="28" t="s">
        <v>61</v>
      </c>
      <c r="B45" s="28">
        <v>6.009888657799E12</v>
      </c>
      <c r="C45" s="29">
        <f t="shared" si="1"/>
        <v>187.8086957</v>
      </c>
      <c r="D45" s="29">
        <v>215.98</v>
      </c>
      <c r="E45" s="29">
        <f t="shared" si="2"/>
        <v>869.5652174</v>
      </c>
      <c r="F45" s="29">
        <v>1000.0</v>
      </c>
      <c r="G45" s="29">
        <f t="shared" ref="G45:G54" si="15">36*1.15</f>
        <v>41.4</v>
      </c>
      <c r="H45" s="29">
        <f t="shared" ref="H45:H47" si="16">(F45*10%)*1.15</f>
        <v>115</v>
      </c>
      <c r="I45" s="29">
        <f t="shared" si="5"/>
        <v>156.4</v>
      </c>
      <c r="J45" s="30">
        <v>1.0</v>
      </c>
      <c r="K45" s="29">
        <f t="shared" si="6"/>
        <v>1000</v>
      </c>
      <c r="L45" s="31">
        <f t="shared" si="7"/>
        <v>215.98</v>
      </c>
      <c r="M45" s="32">
        <f t="shared" si="8"/>
        <v>1000</v>
      </c>
      <c r="N45" s="32">
        <f t="shared" si="9"/>
        <v>156.4</v>
      </c>
      <c r="O45" s="32">
        <f t="shared" si="10"/>
        <v>843.6</v>
      </c>
      <c r="P45" s="33">
        <f t="shared" si="11"/>
        <v>0.7439781887</v>
      </c>
      <c r="Q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ht="12.75" customHeight="1">
      <c r="A46" s="21" t="s">
        <v>62</v>
      </c>
      <c r="B46" s="21">
        <v>6.009888657782E12</v>
      </c>
      <c r="C46" s="22">
        <f t="shared" si="1"/>
        <v>124.4521739</v>
      </c>
      <c r="D46" s="22">
        <v>143.12</v>
      </c>
      <c r="E46" s="22">
        <f t="shared" si="2"/>
        <v>652.173913</v>
      </c>
      <c r="F46" s="22">
        <v>750.0</v>
      </c>
      <c r="G46" s="22">
        <f t="shared" si="15"/>
        <v>41.4</v>
      </c>
      <c r="H46" s="22">
        <f t="shared" si="16"/>
        <v>86.25</v>
      </c>
      <c r="I46" s="22">
        <f t="shared" si="5"/>
        <v>127.65</v>
      </c>
      <c r="J46" s="23">
        <v>3.0</v>
      </c>
      <c r="K46" s="22">
        <f t="shared" si="6"/>
        <v>2250</v>
      </c>
      <c r="L46" s="24">
        <f t="shared" si="7"/>
        <v>429.36</v>
      </c>
      <c r="M46" s="25">
        <f t="shared" si="8"/>
        <v>2250</v>
      </c>
      <c r="N46" s="25">
        <f t="shared" si="9"/>
        <v>382.95</v>
      </c>
      <c r="O46" s="25">
        <f t="shared" si="10"/>
        <v>1867.05</v>
      </c>
      <c r="P46" s="26">
        <f t="shared" si="11"/>
        <v>0.7700329397</v>
      </c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ht="12.75" customHeight="1">
      <c r="A47" s="28" t="s">
        <v>63</v>
      </c>
      <c r="B47" s="28">
        <v>6.009888657805E12</v>
      </c>
      <c r="C47" s="29">
        <f t="shared" si="1"/>
        <v>241.4521739</v>
      </c>
      <c r="D47" s="29">
        <v>277.67</v>
      </c>
      <c r="E47" s="29">
        <f t="shared" si="2"/>
        <v>1217.391304</v>
      </c>
      <c r="F47" s="29">
        <v>1400.0</v>
      </c>
      <c r="G47" s="29">
        <f t="shared" si="15"/>
        <v>41.4</v>
      </c>
      <c r="H47" s="29">
        <f t="shared" si="16"/>
        <v>161</v>
      </c>
      <c r="I47" s="29">
        <f t="shared" si="5"/>
        <v>202.4</v>
      </c>
      <c r="J47" s="30">
        <v>0.0</v>
      </c>
      <c r="K47" s="29">
        <f t="shared" si="6"/>
        <v>0</v>
      </c>
      <c r="L47" s="31">
        <f t="shared" si="7"/>
        <v>0</v>
      </c>
      <c r="M47" s="32">
        <f t="shared" si="8"/>
        <v>0</v>
      </c>
      <c r="N47" s="32">
        <f t="shared" si="9"/>
        <v>0</v>
      </c>
      <c r="O47" s="32">
        <f t="shared" si="10"/>
        <v>0</v>
      </c>
      <c r="P47" s="33" t="str">
        <f t="shared" si="11"/>
        <v>#DIV/0!</v>
      </c>
      <c r="Q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8" ht="12.75" customHeight="1">
      <c r="A48" s="21" t="s">
        <v>64</v>
      </c>
      <c r="B48" s="21">
        <v>6.009888657867E12</v>
      </c>
      <c r="C48" s="22">
        <f t="shared" si="1"/>
        <v>448.0782609</v>
      </c>
      <c r="D48" s="22">
        <v>515.29</v>
      </c>
      <c r="E48" s="22">
        <f t="shared" si="2"/>
        <v>1026.086957</v>
      </c>
      <c r="F48" s="35">
        <v>1180.0</v>
      </c>
      <c r="G48" s="22">
        <f t="shared" si="15"/>
        <v>41.4</v>
      </c>
      <c r="H48" s="22">
        <f t="shared" ref="H48:H54" si="17">F48*15%</f>
        <v>177</v>
      </c>
      <c r="I48" s="22">
        <f t="shared" si="5"/>
        <v>218.4</v>
      </c>
      <c r="J48" s="23">
        <v>0.0</v>
      </c>
      <c r="K48" s="22">
        <f t="shared" si="6"/>
        <v>0</v>
      </c>
      <c r="L48" s="24">
        <f t="shared" si="7"/>
        <v>0</v>
      </c>
      <c r="M48" s="25">
        <f t="shared" si="8"/>
        <v>0</v>
      </c>
      <c r="N48" s="25">
        <f t="shared" si="9"/>
        <v>0</v>
      </c>
      <c r="O48" s="25">
        <f t="shared" si="10"/>
        <v>0</v>
      </c>
      <c r="P48" s="26" t="str">
        <f t="shared" si="11"/>
        <v>#DIV/0!</v>
      </c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</row>
    <row r="49" ht="12.75" customHeight="1">
      <c r="A49" s="28" t="s">
        <v>65</v>
      </c>
      <c r="B49" s="28">
        <v>6.009888657829E12</v>
      </c>
      <c r="C49" s="29">
        <f t="shared" si="1"/>
        <v>469.4869565</v>
      </c>
      <c r="D49" s="29">
        <v>539.91</v>
      </c>
      <c r="E49" s="29">
        <f t="shared" si="2"/>
        <v>1069.565217</v>
      </c>
      <c r="F49" s="29">
        <v>1230.0</v>
      </c>
      <c r="G49" s="29">
        <f t="shared" si="15"/>
        <v>41.4</v>
      </c>
      <c r="H49" s="29">
        <f t="shared" si="17"/>
        <v>184.5</v>
      </c>
      <c r="I49" s="29">
        <f t="shared" si="5"/>
        <v>225.9</v>
      </c>
      <c r="J49" s="30">
        <v>0.0</v>
      </c>
      <c r="K49" s="29">
        <f t="shared" si="6"/>
        <v>0</v>
      </c>
      <c r="L49" s="31">
        <f t="shared" si="7"/>
        <v>0</v>
      </c>
      <c r="M49" s="32">
        <f t="shared" si="8"/>
        <v>0</v>
      </c>
      <c r="N49" s="32">
        <f t="shared" si="9"/>
        <v>0</v>
      </c>
      <c r="O49" s="32">
        <f t="shared" si="10"/>
        <v>0</v>
      </c>
      <c r="P49" s="33" t="str">
        <f t="shared" si="11"/>
        <v>#DIV/0!</v>
      </c>
      <c r="Q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</row>
    <row r="50" ht="12.75" customHeight="1">
      <c r="A50" s="21" t="s">
        <v>66</v>
      </c>
      <c r="B50" s="36">
        <v>6.009888657836E12</v>
      </c>
      <c r="C50" s="22">
        <f t="shared" si="1"/>
        <v>543.9565217</v>
      </c>
      <c r="D50" s="22">
        <v>625.55</v>
      </c>
      <c r="E50" s="22">
        <f t="shared" si="2"/>
        <v>1217.391304</v>
      </c>
      <c r="F50" s="35">
        <v>1400.0</v>
      </c>
      <c r="G50" s="22">
        <f t="shared" si="15"/>
        <v>41.4</v>
      </c>
      <c r="H50" s="22">
        <f t="shared" si="17"/>
        <v>210</v>
      </c>
      <c r="I50" s="22">
        <f t="shared" si="5"/>
        <v>251.4</v>
      </c>
      <c r="J50" s="23">
        <v>0.0</v>
      </c>
      <c r="K50" s="22">
        <f t="shared" si="6"/>
        <v>0</v>
      </c>
      <c r="L50" s="24">
        <f t="shared" si="7"/>
        <v>0</v>
      </c>
      <c r="M50" s="25">
        <f t="shared" si="8"/>
        <v>0</v>
      </c>
      <c r="N50" s="25">
        <f t="shared" si="9"/>
        <v>0</v>
      </c>
      <c r="O50" s="25">
        <f t="shared" si="10"/>
        <v>0</v>
      </c>
      <c r="P50" s="26" t="str">
        <f t="shared" si="11"/>
        <v>#DIV/0!</v>
      </c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</row>
    <row r="51" ht="12.75" customHeight="1">
      <c r="A51" s="28" t="s">
        <v>67</v>
      </c>
      <c r="B51" s="28">
        <v>6.009888657843E12</v>
      </c>
      <c r="C51" s="29">
        <f t="shared" si="1"/>
        <v>927.4782609</v>
      </c>
      <c r="D51" s="29">
        <v>1066.6</v>
      </c>
      <c r="E51" s="29">
        <f t="shared" si="2"/>
        <v>2000</v>
      </c>
      <c r="F51" s="29">
        <v>2300.0</v>
      </c>
      <c r="G51" s="29">
        <f t="shared" si="15"/>
        <v>41.4</v>
      </c>
      <c r="H51" s="29">
        <f t="shared" si="17"/>
        <v>345</v>
      </c>
      <c r="I51" s="29">
        <f t="shared" si="5"/>
        <v>386.4</v>
      </c>
      <c r="J51" s="30">
        <v>0.0</v>
      </c>
      <c r="K51" s="29">
        <f t="shared" si="6"/>
        <v>0</v>
      </c>
      <c r="L51" s="31">
        <f t="shared" si="7"/>
        <v>0</v>
      </c>
      <c r="M51" s="32">
        <f t="shared" si="8"/>
        <v>0</v>
      </c>
      <c r="N51" s="32">
        <f t="shared" si="9"/>
        <v>0</v>
      </c>
      <c r="O51" s="32">
        <f t="shared" si="10"/>
        <v>0</v>
      </c>
      <c r="P51" s="33" t="str">
        <f t="shared" si="11"/>
        <v>#DIV/0!</v>
      </c>
      <c r="Q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</row>
    <row r="52" ht="12.75" customHeight="1">
      <c r="A52" s="21" t="s">
        <v>68</v>
      </c>
      <c r="B52" s="21">
        <v>6.009888657812E12</v>
      </c>
      <c r="C52" s="22">
        <f t="shared" si="1"/>
        <v>314.8086957</v>
      </c>
      <c r="D52" s="22">
        <v>362.03</v>
      </c>
      <c r="E52" s="22">
        <f t="shared" si="2"/>
        <v>765.2173913</v>
      </c>
      <c r="F52" s="35">
        <v>880.0</v>
      </c>
      <c r="G52" s="22">
        <f t="shared" si="15"/>
        <v>41.4</v>
      </c>
      <c r="H52" s="22">
        <f t="shared" si="17"/>
        <v>132</v>
      </c>
      <c r="I52" s="22">
        <f t="shared" si="5"/>
        <v>173.4</v>
      </c>
      <c r="J52" s="23">
        <v>0.0</v>
      </c>
      <c r="K52" s="22">
        <f t="shared" si="6"/>
        <v>0</v>
      </c>
      <c r="L52" s="24">
        <f t="shared" si="7"/>
        <v>0</v>
      </c>
      <c r="M52" s="25">
        <f t="shared" si="8"/>
        <v>0</v>
      </c>
      <c r="N52" s="25">
        <f t="shared" si="9"/>
        <v>0</v>
      </c>
      <c r="O52" s="25">
        <f t="shared" si="10"/>
        <v>0</v>
      </c>
      <c r="P52" s="26" t="str">
        <f t="shared" si="11"/>
        <v>#DIV/0!</v>
      </c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</row>
    <row r="53" ht="12.75" customHeight="1">
      <c r="A53" s="28" t="s">
        <v>69</v>
      </c>
      <c r="B53" s="28">
        <v>6.00988865785E12</v>
      </c>
      <c r="C53" s="29">
        <f t="shared" si="1"/>
        <v>406.5304348</v>
      </c>
      <c r="D53" s="29">
        <v>467.51</v>
      </c>
      <c r="E53" s="29">
        <f t="shared" si="2"/>
        <v>939.1304348</v>
      </c>
      <c r="F53" s="29">
        <v>1080.0</v>
      </c>
      <c r="G53" s="29">
        <f t="shared" si="15"/>
        <v>41.4</v>
      </c>
      <c r="H53" s="29">
        <f t="shared" si="17"/>
        <v>162</v>
      </c>
      <c r="I53" s="29">
        <f t="shared" si="5"/>
        <v>203.4</v>
      </c>
      <c r="J53" s="30">
        <v>0.0</v>
      </c>
      <c r="K53" s="29">
        <f t="shared" si="6"/>
        <v>0</v>
      </c>
      <c r="L53" s="31">
        <f t="shared" si="7"/>
        <v>0</v>
      </c>
      <c r="M53" s="32">
        <f t="shared" si="8"/>
        <v>0</v>
      </c>
      <c r="N53" s="32">
        <f t="shared" si="9"/>
        <v>0</v>
      </c>
      <c r="O53" s="32">
        <f t="shared" si="10"/>
        <v>0</v>
      </c>
      <c r="P53" s="33" t="str">
        <f t="shared" si="11"/>
        <v>#DIV/0!</v>
      </c>
      <c r="Q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</row>
    <row r="54" ht="12.75" customHeight="1">
      <c r="A54" s="21" t="s">
        <v>70</v>
      </c>
      <c r="B54" s="21">
        <v>6.009888657874E12</v>
      </c>
      <c r="C54" s="22">
        <f t="shared" si="1"/>
        <v>644.9478261</v>
      </c>
      <c r="D54" s="22">
        <v>741.69</v>
      </c>
      <c r="E54" s="22">
        <f t="shared" si="2"/>
        <v>1173.913043</v>
      </c>
      <c r="F54" s="35">
        <v>1350.0</v>
      </c>
      <c r="G54" s="22">
        <f t="shared" si="15"/>
        <v>41.4</v>
      </c>
      <c r="H54" s="22">
        <f t="shared" si="17"/>
        <v>202.5</v>
      </c>
      <c r="I54" s="22">
        <f t="shared" si="5"/>
        <v>243.9</v>
      </c>
      <c r="J54" s="23">
        <v>0.0</v>
      </c>
      <c r="K54" s="22">
        <f t="shared" si="6"/>
        <v>0</v>
      </c>
      <c r="L54" s="24">
        <f t="shared" si="7"/>
        <v>0</v>
      </c>
      <c r="M54" s="25">
        <f t="shared" si="8"/>
        <v>0</v>
      </c>
      <c r="N54" s="25">
        <f t="shared" si="9"/>
        <v>0</v>
      </c>
      <c r="O54" s="25">
        <f t="shared" si="10"/>
        <v>0</v>
      </c>
      <c r="P54" s="26" t="str">
        <f t="shared" si="11"/>
        <v>#DIV/0!</v>
      </c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</row>
    <row r="55" ht="12.75" customHeight="1">
      <c r="A55" s="19"/>
      <c r="B55" s="19"/>
      <c r="C55" s="37"/>
      <c r="D55" s="19"/>
      <c r="E55" s="37"/>
      <c r="F55" s="19"/>
      <c r="G55" s="19"/>
      <c r="H55" s="19"/>
      <c r="I55" s="19"/>
      <c r="L55" s="38"/>
      <c r="M55" s="38"/>
      <c r="N55" s="38"/>
      <c r="O55" s="38"/>
      <c r="P55" s="38"/>
    </row>
    <row r="56" ht="12.75" customHeight="1">
      <c r="A56" s="19"/>
      <c r="B56" s="19"/>
      <c r="C56" s="37"/>
      <c r="D56" s="19"/>
      <c r="E56" s="37"/>
      <c r="F56" s="19"/>
      <c r="G56" s="19"/>
      <c r="H56" s="19"/>
      <c r="I56" s="19"/>
      <c r="L56" s="38"/>
      <c r="M56" s="38"/>
      <c r="N56" s="38"/>
      <c r="O56" s="38"/>
      <c r="P56" s="38"/>
    </row>
    <row r="57" ht="12.75" customHeight="1">
      <c r="A57" s="19"/>
      <c r="B57" s="19"/>
      <c r="C57" s="37"/>
      <c r="D57" s="19"/>
      <c r="E57" s="37"/>
      <c r="F57" s="19"/>
      <c r="G57" s="19"/>
      <c r="H57" s="19"/>
      <c r="I57" s="19"/>
      <c r="L57" s="38"/>
      <c r="M57" s="38"/>
      <c r="N57" s="38"/>
      <c r="O57" s="38"/>
      <c r="P57" s="38"/>
    </row>
    <row r="58" ht="12.75" customHeight="1">
      <c r="A58" s="19"/>
      <c r="B58" s="19"/>
      <c r="C58" s="37"/>
      <c r="D58" s="19"/>
      <c r="E58" s="37"/>
      <c r="F58" s="19"/>
      <c r="G58" s="19"/>
      <c r="H58" s="19"/>
      <c r="I58" s="19"/>
      <c r="L58" s="38"/>
      <c r="M58" s="38"/>
      <c r="N58" s="38"/>
      <c r="O58" s="38"/>
      <c r="P58" s="38"/>
    </row>
    <row r="59" ht="12.75" customHeight="1">
      <c r="A59" s="19"/>
      <c r="B59" s="19"/>
      <c r="C59" s="37"/>
      <c r="D59" s="19"/>
      <c r="E59" s="37"/>
      <c r="F59" s="19"/>
      <c r="G59" s="19"/>
      <c r="H59" s="19"/>
      <c r="I59" s="19"/>
      <c r="L59" s="38"/>
      <c r="M59" s="38"/>
      <c r="N59" s="38"/>
      <c r="O59" s="38"/>
      <c r="P59" s="38"/>
    </row>
    <row r="60" ht="12.75" customHeight="1">
      <c r="A60" s="19"/>
      <c r="B60" s="19"/>
      <c r="C60" s="37"/>
      <c r="D60" s="19"/>
      <c r="E60" s="37"/>
      <c r="F60" s="19"/>
      <c r="G60" s="19"/>
      <c r="H60" s="19"/>
      <c r="I60" s="19"/>
      <c r="L60" s="38"/>
      <c r="M60" s="38"/>
      <c r="N60" s="38"/>
      <c r="O60" s="38"/>
      <c r="P60" s="38"/>
    </row>
    <row r="61" ht="12.75" customHeight="1">
      <c r="A61" s="19"/>
      <c r="B61" s="19"/>
      <c r="C61" s="37"/>
      <c r="D61" s="19"/>
      <c r="E61" s="37"/>
      <c r="F61" s="19"/>
      <c r="G61" s="19"/>
      <c r="H61" s="19"/>
      <c r="I61" s="19"/>
      <c r="L61" s="38"/>
      <c r="M61" s="38"/>
      <c r="N61" s="38"/>
      <c r="O61" s="38"/>
      <c r="P61" s="38"/>
    </row>
    <row r="62" ht="12.75" customHeight="1">
      <c r="A62" s="19"/>
      <c r="B62" s="19"/>
      <c r="C62" s="37"/>
      <c r="D62" s="19"/>
      <c r="E62" s="37"/>
      <c r="F62" s="19"/>
      <c r="G62" s="19"/>
      <c r="H62" s="19"/>
      <c r="I62" s="19"/>
      <c r="L62" s="38"/>
      <c r="M62" s="38"/>
      <c r="N62" s="38"/>
      <c r="O62" s="38"/>
      <c r="P62" s="38"/>
    </row>
    <row r="63" ht="12.75" customHeight="1">
      <c r="A63" s="19"/>
      <c r="B63" s="19"/>
      <c r="C63" s="37"/>
      <c r="D63" s="19"/>
      <c r="E63" s="37"/>
      <c r="F63" s="19"/>
      <c r="G63" s="19"/>
      <c r="H63" s="19"/>
      <c r="I63" s="19"/>
      <c r="L63" s="38"/>
      <c r="M63" s="38"/>
      <c r="N63" s="38"/>
      <c r="O63" s="38"/>
      <c r="P63" s="38"/>
    </row>
    <row r="64" ht="12.75" customHeight="1">
      <c r="A64" s="19"/>
      <c r="B64" s="19"/>
      <c r="C64" s="37"/>
      <c r="D64" s="19"/>
      <c r="E64" s="37"/>
      <c r="F64" s="19"/>
      <c r="G64" s="19"/>
      <c r="H64" s="19"/>
      <c r="I64" s="19"/>
      <c r="L64" s="38"/>
      <c r="M64" s="38"/>
      <c r="N64" s="38"/>
      <c r="O64" s="38"/>
      <c r="P64" s="38"/>
    </row>
    <row r="65" ht="12.75" customHeight="1">
      <c r="A65" s="19"/>
      <c r="B65" s="19"/>
      <c r="C65" s="37"/>
      <c r="D65" s="19"/>
      <c r="E65" s="37"/>
      <c r="F65" s="19"/>
      <c r="G65" s="19"/>
      <c r="H65" s="19"/>
      <c r="I65" s="19"/>
      <c r="L65" s="38"/>
      <c r="M65" s="38"/>
      <c r="N65" s="38"/>
      <c r="O65" s="38"/>
      <c r="P65" s="38"/>
    </row>
    <row r="66" ht="12.75" customHeight="1">
      <c r="A66" s="19"/>
      <c r="B66" s="19"/>
      <c r="C66" s="37"/>
      <c r="D66" s="19"/>
      <c r="E66" s="37"/>
      <c r="F66" s="19"/>
      <c r="G66" s="19"/>
      <c r="H66" s="19"/>
      <c r="I66" s="19"/>
      <c r="L66" s="38"/>
      <c r="M66" s="38"/>
      <c r="N66" s="38"/>
      <c r="O66" s="38"/>
      <c r="P66" s="38"/>
    </row>
    <row r="67" ht="12.75" customHeight="1">
      <c r="A67" s="19"/>
      <c r="B67" s="19"/>
      <c r="C67" s="37"/>
      <c r="D67" s="19"/>
      <c r="E67" s="37"/>
      <c r="F67" s="19"/>
      <c r="G67" s="19"/>
      <c r="H67" s="19"/>
      <c r="I67" s="19"/>
      <c r="L67" s="38"/>
      <c r="M67" s="38"/>
      <c r="N67" s="38"/>
      <c r="O67" s="38"/>
      <c r="P67" s="38"/>
    </row>
    <row r="68" ht="12.75" customHeight="1">
      <c r="A68" s="19"/>
      <c r="B68" s="19"/>
      <c r="C68" s="37"/>
      <c r="D68" s="19"/>
      <c r="E68" s="37"/>
      <c r="F68" s="19"/>
      <c r="G68" s="19"/>
      <c r="H68" s="19"/>
      <c r="I68" s="19"/>
      <c r="L68" s="38"/>
      <c r="M68" s="38"/>
      <c r="N68" s="38"/>
      <c r="O68" s="38"/>
      <c r="P68" s="38"/>
    </row>
    <row r="69" ht="12.75" customHeight="1">
      <c r="A69" s="19"/>
      <c r="B69" s="19"/>
      <c r="C69" s="37"/>
      <c r="D69" s="19"/>
      <c r="E69" s="37"/>
      <c r="F69" s="19"/>
      <c r="G69" s="19"/>
      <c r="H69" s="19"/>
      <c r="I69" s="19"/>
      <c r="L69" s="38"/>
      <c r="M69" s="38"/>
      <c r="N69" s="38"/>
      <c r="O69" s="38"/>
      <c r="P69" s="38"/>
    </row>
    <row r="70" ht="12.75" customHeight="1">
      <c r="A70" s="19"/>
      <c r="B70" s="19"/>
      <c r="C70" s="37"/>
      <c r="D70" s="19"/>
      <c r="E70" s="37"/>
      <c r="F70" s="19"/>
      <c r="G70" s="19"/>
      <c r="H70" s="19"/>
      <c r="I70" s="19"/>
      <c r="L70" s="38"/>
      <c r="M70" s="38"/>
      <c r="N70" s="38"/>
      <c r="O70" s="38"/>
      <c r="P70" s="38"/>
    </row>
    <row r="71" ht="12.75" customHeight="1">
      <c r="A71" s="19"/>
      <c r="B71" s="19"/>
      <c r="C71" s="37"/>
      <c r="D71" s="19"/>
      <c r="E71" s="37"/>
      <c r="F71" s="19"/>
      <c r="G71" s="19"/>
      <c r="H71" s="19"/>
      <c r="I71" s="19"/>
      <c r="L71" s="38"/>
      <c r="M71" s="38"/>
      <c r="N71" s="38"/>
      <c r="O71" s="38"/>
      <c r="P71" s="38"/>
    </row>
    <row r="72" ht="12.75" customHeight="1">
      <c r="A72" s="19"/>
      <c r="B72" s="19"/>
      <c r="C72" s="37"/>
      <c r="D72" s="19"/>
      <c r="E72" s="37"/>
      <c r="F72" s="19"/>
      <c r="G72" s="19"/>
      <c r="H72" s="19"/>
      <c r="I72" s="19"/>
      <c r="L72" s="38"/>
      <c r="M72" s="38"/>
      <c r="N72" s="38"/>
      <c r="O72" s="38"/>
      <c r="P72" s="38"/>
    </row>
    <row r="73" ht="12.75" customHeight="1">
      <c r="A73" s="19"/>
      <c r="B73" s="19"/>
      <c r="C73" s="37"/>
      <c r="D73" s="19"/>
      <c r="E73" s="37"/>
      <c r="F73" s="19"/>
      <c r="G73" s="19"/>
      <c r="H73" s="19"/>
      <c r="I73" s="19"/>
      <c r="L73" s="38"/>
      <c r="M73" s="38"/>
      <c r="N73" s="38"/>
      <c r="O73" s="38"/>
      <c r="P73" s="38"/>
    </row>
    <row r="74" ht="12.75" customHeight="1">
      <c r="A74" s="19"/>
      <c r="B74" s="39"/>
      <c r="C74" s="37"/>
      <c r="D74" s="19"/>
      <c r="E74" s="37"/>
      <c r="F74" s="19"/>
      <c r="G74" s="19"/>
      <c r="H74" s="19"/>
      <c r="I74" s="19"/>
      <c r="L74" s="38"/>
      <c r="M74" s="38"/>
      <c r="N74" s="38"/>
      <c r="O74" s="38"/>
      <c r="P74" s="38"/>
    </row>
    <row r="75" ht="12.75" customHeight="1">
      <c r="A75" s="19"/>
      <c r="B75" s="19"/>
      <c r="C75" s="37"/>
      <c r="D75" s="19"/>
      <c r="E75" s="37"/>
      <c r="F75" s="19"/>
      <c r="G75" s="19"/>
      <c r="H75" s="19"/>
      <c r="I75" s="19"/>
      <c r="L75" s="38"/>
      <c r="M75" s="38"/>
      <c r="N75" s="38"/>
      <c r="O75" s="38"/>
      <c r="P75" s="38"/>
    </row>
    <row r="76" ht="12.75" customHeight="1">
      <c r="A76" s="19"/>
      <c r="B76" s="19"/>
      <c r="C76" s="37"/>
      <c r="D76" s="19"/>
      <c r="E76" s="37"/>
      <c r="F76" s="19"/>
      <c r="G76" s="19"/>
      <c r="H76" s="19"/>
      <c r="I76" s="19"/>
      <c r="L76" s="38"/>
      <c r="M76" s="38"/>
      <c r="N76" s="38"/>
      <c r="O76" s="38"/>
      <c r="P76" s="38"/>
    </row>
    <row r="77" ht="12.75" customHeight="1">
      <c r="A77" s="19"/>
      <c r="B77" s="19"/>
      <c r="C77" s="37"/>
      <c r="D77" s="19"/>
      <c r="E77" s="37"/>
      <c r="F77" s="19"/>
      <c r="G77" s="19"/>
      <c r="H77" s="19"/>
      <c r="I77" s="19"/>
      <c r="L77" s="38"/>
      <c r="M77" s="38"/>
      <c r="N77" s="38"/>
      <c r="O77" s="38"/>
      <c r="P77" s="38"/>
    </row>
    <row r="78" ht="12.75" customHeight="1">
      <c r="A78" s="19"/>
      <c r="B78" s="19"/>
      <c r="C78" s="37"/>
      <c r="D78" s="19"/>
      <c r="E78" s="37"/>
      <c r="F78" s="19"/>
      <c r="G78" s="19"/>
      <c r="H78" s="19"/>
      <c r="I78" s="19"/>
      <c r="L78" s="38"/>
      <c r="M78" s="38"/>
      <c r="N78" s="38"/>
      <c r="O78" s="38"/>
      <c r="P78" s="38"/>
    </row>
    <row r="79" ht="12.75" customHeight="1">
      <c r="A79" s="19"/>
      <c r="B79" s="19"/>
      <c r="C79" s="37"/>
      <c r="D79" s="19"/>
      <c r="E79" s="37"/>
      <c r="F79" s="19"/>
      <c r="G79" s="19"/>
      <c r="H79" s="19"/>
      <c r="I79" s="19"/>
      <c r="L79" s="38"/>
      <c r="M79" s="38"/>
      <c r="N79" s="38"/>
      <c r="O79" s="38"/>
      <c r="P79" s="38"/>
    </row>
    <row r="80" ht="12.75" customHeight="1">
      <c r="A80" s="19"/>
      <c r="B80" s="19"/>
      <c r="C80" s="37"/>
      <c r="D80" s="19"/>
      <c r="E80" s="37"/>
      <c r="F80" s="19"/>
      <c r="G80" s="19"/>
      <c r="H80" s="19"/>
      <c r="I80" s="19"/>
      <c r="L80" s="38"/>
      <c r="M80" s="38"/>
      <c r="N80" s="38"/>
      <c r="O80" s="38"/>
      <c r="P80" s="38"/>
    </row>
    <row r="81" ht="12.75" customHeight="1">
      <c r="A81" s="19"/>
      <c r="B81" s="19"/>
      <c r="C81" s="37"/>
      <c r="D81" s="19"/>
      <c r="E81" s="37"/>
      <c r="F81" s="19"/>
      <c r="G81" s="19"/>
      <c r="H81" s="19"/>
      <c r="I81" s="19"/>
      <c r="L81" s="38"/>
      <c r="M81" s="38"/>
      <c r="N81" s="38"/>
      <c r="O81" s="38"/>
      <c r="P81" s="38"/>
    </row>
    <row r="82" ht="12.75" customHeight="1">
      <c r="A82" s="19"/>
      <c r="B82" s="19"/>
      <c r="C82" s="37"/>
      <c r="D82" s="19"/>
      <c r="E82" s="37"/>
      <c r="F82" s="19"/>
      <c r="G82" s="19"/>
      <c r="H82" s="19"/>
      <c r="I82" s="19"/>
      <c r="L82" s="38"/>
      <c r="M82" s="38"/>
      <c r="N82" s="38"/>
      <c r="O82" s="38"/>
      <c r="P82" s="38"/>
    </row>
    <row r="83" ht="12.75" customHeight="1">
      <c r="A83" s="19"/>
      <c r="B83" s="19"/>
      <c r="C83" s="37"/>
      <c r="D83" s="19"/>
      <c r="E83" s="37"/>
      <c r="F83" s="19"/>
      <c r="G83" s="19"/>
      <c r="H83" s="19"/>
      <c r="I83" s="19"/>
      <c r="L83" s="38"/>
      <c r="M83" s="38"/>
      <c r="N83" s="38"/>
      <c r="O83" s="38"/>
      <c r="P83" s="38"/>
    </row>
    <row r="84" ht="12.75" customHeight="1">
      <c r="A84" s="19"/>
      <c r="B84" s="19"/>
      <c r="C84" s="37"/>
      <c r="D84" s="19"/>
      <c r="E84" s="37"/>
      <c r="F84" s="19"/>
      <c r="G84" s="19"/>
      <c r="H84" s="19"/>
      <c r="I84" s="19"/>
      <c r="L84" s="38"/>
      <c r="M84" s="38"/>
      <c r="N84" s="38"/>
      <c r="O84" s="38"/>
      <c r="P84" s="38"/>
    </row>
    <row r="85" ht="12.75" customHeight="1">
      <c r="A85" s="19"/>
      <c r="B85" s="19"/>
      <c r="C85" s="37"/>
      <c r="D85" s="19"/>
      <c r="E85" s="37"/>
      <c r="F85" s="19"/>
      <c r="G85" s="19"/>
      <c r="H85" s="19"/>
      <c r="I85" s="19"/>
      <c r="L85" s="38"/>
      <c r="M85" s="38"/>
      <c r="N85" s="38"/>
      <c r="O85" s="38"/>
      <c r="P85" s="38"/>
    </row>
    <row r="86" ht="12.75" customHeight="1">
      <c r="A86" s="19"/>
      <c r="B86" s="19"/>
      <c r="C86" s="37"/>
      <c r="D86" s="19"/>
      <c r="E86" s="37"/>
      <c r="F86" s="19"/>
      <c r="G86" s="19"/>
      <c r="H86" s="19"/>
      <c r="I86" s="19"/>
      <c r="L86" s="38"/>
      <c r="M86" s="38"/>
      <c r="N86" s="38"/>
      <c r="O86" s="38"/>
      <c r="P86" s="38"/>
    </row>
    <row r="87" ht="12.75" customHeight="1">
      <c r="A87" s="19"/>
      <c r="B87" s="19"/>
      <c r="C87" s="37"/>
      <c r="D87" s="19"/>
      <c r="E87" s="37"/>
      <c r="F87" s="19"/>
      <c r="G87" s="19"/>
      <c r="H87" s="19"/>
      <c r="I87" s="19"/>
      <c r="L87" s="38"/>
      <c r="M87" s="38"/>
      <c r="N87" s="38"/>
      <c r="O87" s="38"/>
      <c r="P87" s="38"/>
    </row>
    <row r="88" ht="12.75" customHeight="1">
      <c r="A88" s="19"/>
      <c r="B88" s="19"/>
      <c r="C88" s="37"/>
      <c r="D88" s="19"/>
      <c r="E88" s="37"/>
      <c r="F88" s="19"/>
      <c r="G88" s="19"/>
      <c r="H88" s="19"/>
      <c r="I88" s="19"/>
      <c r="L88" s="38"/>
      <c r="M88" s="38"/>
      <c r="N88" s="38"/>
      <c r="O88" s="38"/>
      <c r="P88" s="38"/>
    </row>
    <row r="89" ht="12.75" customHeight="1">
      <c r="A89" s="19"/>
      <c r="B89" s="19"/>
      <c r="C89" s="37"/>
      <c r="D89" s="19"/>
      <c r="E89" s="37"/>
      <c r="F89" s="19"/>
      <c r="G89" s="19"/>
      <c r="H89" s="19"/>
      <c r="I89" s="19"/>
      <c r="L89" s="38"/>
      <c r="M89" s="38"/>
      <c r="N89" s="38"/>
      <c r="O89" s="38"/>
      <c r="P89" s="38"/>
    </row>
    <row r="90" ht="12.75" customHeight="1">
      <c r="A90" s="19"/>
      <c r="B90" s="19"/>
      <c r="C90" s="37"/>
      <c r="D90" s="19"/>
      <c r="E90" s="37"/>
      <c r="F90" s="19"/>
      <c r="G90" s="19"/>
      <c r="H90" s="19"/>
      <c r="I90" s="19"/>
      <c r="L90" s="38"/>
      <c r="M90" s="38"/>
      <c r="N90" s="38"/>
      <c r="O90" s="38"/>
      <c r="P90" s="38"/>
    </row>
    <row r="91" ht="12.75" customHeight="1">
      <c r="A91" s="19"/>
      <c r="B91" s="19"/>
      <c r="C91" s="37"/>
      <c r="D91" s="19"/>
      <c r="E91" s="37"/>
      <c r="F91" s="19"/>
      <c r="G91" s="19"/>
      <c r="H91" s="19"/>
      <c r="I91" s="19"/>
      <c r="L91" s="38"/>
      <c r="M91" s="38"/>
      <c r="N91" s="38"/>
      <c r="O91" s="38"/>
      <c r="P91" s="38"/>
    </row>
    <row r="92" ht="12.75" customHeight="1">
      <c r="A92" s="19"/>
      <c r="B92" s="19"/>
      <c r="C92" s="37"/>
      <c r="D92" s="19"/>
      <c r="E92" s="37"/>
      <c r="F92" s="19"/>
      <c r="G92" s="19"/>
      <c r="H92" s="19"/>
      <c r="I92" s="19"/>
      <c r="L92" s="38"/>
      <c r="M92" s="38"/>
      <c r="N92" s="38"/>
      <c r="O92" s="38"/>
      <c r="P92" s="38"/>
    </row>
    <row r="93" ht="12.75" customHeight="1">
      <c r="A93" s="19"/>
      <c r="B93" s="19"/>
      <c r="C93" s="37"/>
      <c r="D93" s="19"/>
      <c r="E93" s="37"/>
      <c r="F93" s="19"/>
      <c r="G93" s="19"/>
      <c r="H93" s="19"/>
      <c r="I93" s="19"/>
      <c r="L93" s="38"/>
      <c r="M93" s="38"/>
      <c r="N93" s="38"/>
      <c r="O93" s="38"/>
      <c r="P93" s="38"/>
    </row>
    <row r="94" ht="12.75" customHeight="1">
      <c r="A94" s="19"/>
      <c r="B94" s="19"/>
      <c r="C94" s="37"/>
      <c r="D94" s="19"/>
      <c r="E94" s="37"/>
      <c r="F94" s="19"/>
      <c r="G94" s="19"/>
      <c r="H94" s="19"/>
      <c r="I94" s="19"/>
      <c r="L94" s="38"/>
      <c r="M94" s="38"/>
      <c r="N94" s="38"/>
      <c r="O94" s="38"/>
      <c r="P94" s="38"/>
    </row>
    <row r="95" ht="12.75" customHeight="1">
      <c r="A95" s="19"/>
      <c r="B95" s="19"/>
      <c r="C95" s="37"/>
      <c r="D95" s="19"/>
      <c r="E95" s="37"/>
      <c r="F95" s="19"/>
      <c r="G95" s="19"/>
      <c r="H95" s="19"/>
      <c r="I95" s="19"/>
      <c r="L95" s="38"/>
      <c r="M95" s="38"/>
      <c r="N95" s="38"/>
      <c r="O95" s="38"/>
      <c r="P95" s="38"/>
    </row>
    <row r="96" ht="12.75" customHeight="1">
      <c r="A96" s="19"/>
      <c r="B96" s="19"/>
      <c r="C96" s="37"/>
      <c r="D96" s="19"/>
      <c r="E96" s="37"/>
      <c r="F96" s="19"/>
      <c r="G96" s="19"/>
      <c r="H96" s="19"/>
      <c r="I96" s="19"/>
      <c r="L96" s="38"/>
      <c r="M96" s="38"/>
      <c r="N96" s="38"/>
      <c r="O96" s="38"/>
      <c r="P96" s="38"/>
    </row>
    <row r="97" ht="12.75" customHeight="1">
      <c r="A97" s="19"/>
      <c r="B97" s="19"/>
      <c r="C97" s="37"/>
      <c r="D97" s="19"/>
      <c r="E97" s="37"/>
      <c r="F97" s="19"/>
      <c r="G97" s="19"/>
      <c r="H97" s="19"/>
      <c r="I97" s="19"/>
      <c r="L97" s="38"/>
      <c r="M97" s="38"/>
      <c r="N97" s="38"/>
      <c r="O97" s="38"/>
      <c r="P97" s="38"/>
    </row>
    <row r="98" ht="12.75" customHeight="1">
      <c r="A98" s="19"/>
      <c r="B98" s="19"/>
      <c r="C98" s="37"/>
      <c r="D98" s="19"/>
      <c r="E98" s="37"/>
      <c r="F98" s="19"/>
      <c r="G98" s="19"/>
      <c r="H98" s="19"/>
      <c r="I98" s="19"/>
      <c r="L98" s="38"/>
      <c r="M98" s="38"/>
      <c r="N98" s="38"/>
      <c r="O98" s="38"/>
      <c r="P98" s="38"/>
    </row>
    <row r="99" ht="12.75" customHeight="1">
      <c r="A99" s="19"/>
      <c r="B99" s="19"/>
      <c r="C99" s="37"/>
      <c r="D99" s="19"/>
      <c r="E99" s="37"/>
      <c r="F99" s="19"/>
      <c r="G99" s="19"/>
      <c r="H99" s="19"/>
      <c r="I99" s="19"/>
      <c r="L99" s="38"/>
      <c r="M99" s="38"/>
      <c r="N99" s="38"/>
      <c r="O99" s="38"/>
      <c r="P99" s="38"/>
    </row>
    <row r="100" ht="12.75" customHeight="1">
      <c r="A100" s="19"/>
      <c r="B100" s="19"/>
      <c r="C100" s="37"/>
      <c r="D100" s="19"/>
      <c r="E100" s="37"/>
      <c r="F100" s="19"/>
      <c r="G100" s="19"/>
      <c r="H100" s="19"/>
      <c r="I100" s="19"/>
      <c r="L100" s="38"/>
      <c r="M100" s="38"/>
      <c r="N100" s="38"/>
      <c r="O100" s="38"/>
      <c r="P100" s="38"/>
    </row>
    <row r="101" ht="12.75" customHeight="1">
      <c r="A101" s="19"/>
      <c r="B101" s="19"/>
      <c r="C101" s="37"/>
      <c r="D101" s="19"/>
      <c r="E101" s="37"/>
      <c r="F101" s="19"/>
      <c r="G101" s="19"/>
      <c r="H101" s="19"/>
      <c r="I101" s="19"/>
      <c r="L101" s="38"/>
      <c r="M101" s="38"/>
      <c r="N101" s="38"/>
      <c r="O101" s="38"/>
      <c r="P101" s="38"/>
    </row>
    <row r="102" ht="12.75" customHeight="1">
      <c r="A102" s="19"/>
      <c r="B102" s="19"/>
      <c r="C102" s="37"/>
      <c r="D102" s="19"/>
      <c r="E102" s="37"/>
      <c r="F102" s="19"/>
      <c r="G102" s="19"/>
      <c r="H102" s="19"/>
      <c r="I102" s="19"/>
      <c r="L102" s="38"/>
      <c r="M102" s="38"/>
      <c r="N102" s="38"/>
      <c r="O102" s="38"/>
      <c r="P102" s="38"/>
    </row>
    <row r="103" ht="12.75" customHeight="1">
      <c r="A103" s="19"/>
      <c r="B103" s="19"/>
      <c r="C103" s="37"/>
      <c r="D103" s="19"/>
      <c r="E103" s="37"/>
      <c r="F103" s="19"/>
      <c r="G103" s="19"/>
      <c r="H103" s="19"/>
      <c r="I103" s="19"/>
      <c r="L103" s="38"/>
      <c r="M103" s="38"/>
      <c r="N103" s="38"/>
      <c r="O103" s="38"/>
      <c r="P103" s="38"/>
    </row>
    <row r="104" ht="12.75" customHeight="1">
      <c r="A104" s="19"/>
      <c r="B104" s="19"/>
      <c r="C104" s="37"/>
      <c r="D104" s="19"/>
      <c r="E104" s="37"/>
      <c r="F104" s="19"/>
      <c r="G104" s="19"/>
      <c r="H104" s="19"/>
      <c r="I104" s="19"/>
      <c r="L104" s="38"/>
      <c r="M104" s="38"/>
      <c r="N104" s="38"/>
      <c r="O104" s="38"/>
      <c r="P104" s="38"/>
    </row>
    <row r="105" ht="12.75" customHeight="1">
      <c r="A105" s="19"/>
      <c r="B105" s="19"/>
      <c r="C105" s="37"/>
      <c r="D105" s="19"/>
      <c r="E105" s="37"/>
      <c r="F105" s="19"/>
      <c r="G105" s="19"/>
      <c r="H105" s="19"/>
      <c r="I105" s="19"/>
      <c r="L105" s="38"/>
      <c r="M105" s="38"/>
      <c r="N105" s="38"/>
      <c r="O105" s="38"/>
      <c r="P105" s="38"/>
    </row>
    <row r="106" ht="12.75" customHeight="1">
      <c r="A106" s="19"/>
      <c r="B106" s="19"/>
      <c r="C106" s="37"/>
      <c r="D106" s="19"/>
      <c r="E106" s="37"/>
      <c r="F106" s="19"/>
      <c r="G106" s="19"/>
      <c r="H106" s="19"/>
      <c r="I106" s="19"/>
      <c r="L106" s="38"/>
      <c r="M106" s="38"/>
      <c r="N106" s="38"/>
      <c r="O106" s="38"/>
      <c r="P106" s="38"/>
    </row>
    <row r="107" ht="12.75" customHeight="1">
      <c r="A107" s="19"/>
      <c r="B107" s="19"/>
      <c r="C107" s="37"/>
      <c r="D107" s="19"/>
      <c r="E107" s="37"/>
      <c r="F107" s="19"/>
      <c r="G107" s="19"/>
      <c r="H107" s="19"/>
      <c r="I107" s="19"/>
      <c r="L107" s="38"/>
      <c r="M107" s="38"/>
      <c r="N107" s="38"/>
      <c r="O107" s="38"/>
      <c r="P107" s="38"/>
    </row>
    <row r="108" ht="12.75" customHeight="1">
      <c r="A108" s="19"/>
      <c r="B108" s="19"/>
      <c r="C108" s="37"/>
      <c r="D108" s="19"/>
      <c r="E108" s="37"/>
      <c r="F108" s="19"/>
      <c r="G108" s="19"/>
      <c r="H108" s="19"/>
      <c r="I108" s="19"/>
      <c r="L108" s="38"/>
      <c r="M108" s="38"/>
      <c r="N108" s="38"/>
      <c r="O108" s="38"/>
      <c r="P108" s="38"/>
    </row>
    <row r="109" ht="12.75" customHeight="1">
      <c r="A109" s="19"/>
      <c r="B109" s="19"/>
      <c r="C109" s="37"/>
      <c r="D109" s="19"/>
      <c r="E109" s="37"/>
      <c r="F109" s="19"/>
      <c r="G109" s="19"/>
      <c r="H109" s="19"/>
      <c r="I109" s="19"/>
      <c r="L109" s="38"/>
      <c r="M109" s="38"/>
      <c r="N109" s="38"/>
      <c r="O109" s="38"/>
      <c r="P109" s="38"/>
    </row>
    <row r="110" ht="12.75" customHeight="1">
      <c r="A110" s="19"/>
      <c r="B110" s="19"/>
      <c r="C110" s="37"/>
      <c r="D110" s="19"/>
      <c r="E110" s="37"/>
      <c r="F110" s="19"/>
      <c r="G110" s="19"/>
      <c r="H110" s="19"/>
      <c r="I110" s="19"/>
      <c r="L110" s="38"/>
      <c r="M110" s="38"/>
      <c r="N110" s="38"/>
      <c r="O110" s="38"/>
      <c r="P110" s="38"/>
    </row>
    <row r="111" ht="12.75" customHeight="1">
      <c r="A111" s="19"/>
      <c r="B111" s="19"/>
      <c r="C111" s="37"/>
      <c r="D111" s="19"/>
      <c r="E111" s="37"/>
      <c r="F111" s="19"/>
      <c r="G111" s="19"/>
      <c r="H111" s="19"/>
      <c r="I111" s="19"/>
      <c r="L111" s="38"/>
      <c r="M111" s="38"/>
      <c r="N111" s="38"/>
      <c r="O111" s="38"/>
      <c r="P111" s="38"/>
    </row>
    <row r="112" ht="12.75" customHeight="1">
      <c r="A112" s="19"/>
      <c r="B112" s="19"/>
      <c r="C112" s="37"/>
      <c r="D112" s="19"/>
      <c r="E112" s="37"/>
      <c r="F112" s="19"/>
      <c r="G112" s="19"/>
      <c r="H112" s="19"/>
      <c r="I112" s="19"/>
      <c r="L112" s="38"/>
      <c r="M112" s="38"/>
      <c r="N112" s="38"/>
      <c r="O112" s="38"/>
      <c r="P112" s="38"/>
    </row>
    <row r="113" ht="12.75" customHeight="1">
      <c r="A113" s="19"/>
      <c r="B113" s="19"/>
      <c r="C113" s="37"/>
      <c r="D113" s="19"/>
      <c r="E113" s="37"/>
      <c r="F113" s="19"/>
      <c r="G113" s="19"/>
      <c r="H113" s="19"/>
      <c r="I113" s="19"/>
      <c r="L113" s="38"/>
      <c r="M113" s="38"/>
      <c r="N113" s="38"/>
      <c r="O113" s="38"/>
      <c r="P113" s="38"/>
    </row>
    <row r="114" ht="12.75" customHeight="1">
      <c r="A114" s="19"/>
      <c r="B114" s="19"/>
      <c r="C114" s="37"/>
      <c r="D114" s="19"/>
      <c r="E114" s="37"/>
      <c r="F114" s="19"/>
      <c r="G114" s="19"/>
      <c r="H114" s="19"/>
      <c r="I114" s="19"/>
      <c r="L114" s="38"/>
      <c r="M114" s="38"/>
      <c r="N114" s="38"/>
      <c r="O114" s="38"/>
      <c r="P114" s="38"/>
    </row>
    <row r="115" ht="12.75" customHeight="1">
      <c r="A115" s="19"/>
      <c r="B115" s="19"/>
      <c r="C115" s="37"/>
      <c r="D115" s="19"/>
      <c r="E115" s="37"/>
      <c r="F115" s="19"/>
      <c r="G115" s="19"/>
      <c r="H115" s="19"/>
      <c r="I115" s="19"/>
      <c r="L115" s="38"/>
      <c r="M115" s="38"/>
      <c r="N115" s="38"/>
      <c r="O115" s="38"/>
      <c r="P115" s="38"/>
    </row>
    <row r="116" ht="12.75" customHeight="1">
      <c r="A116" s="19"/>
      <c r="B116" s="19"/>
      <c r="C116" s="37"/>
      <c r="D116" s="19"/>
      <c r="E116" s="37"/>
      <c r="F116" s="19"/>
      <c r="G116" s="19"/>
      <c r="H116" s="19"/>
      <c r="I116" s="19"/>
      <c r="L116" s="38"/>
      <c r="M116" s="38"/>
      <c r="N116" s="38"/>
      <c r="O116" s="38"/>
      <c r="P116" s="38"/>
    </row>
    <row r="117" ht="12.75" customHeight="1">
      <c r="A117" s="19"/>
      <c r="B117" s="19"/>
      <c r="C117" s="37"/>
      <c r="D117" s="19"/>
      <c r="E117" s="37"/>
      <c r="F117" s="19"/>
      <c r="G117" s="19"/>
      <c r="H117" s="19"/>
      <c r="I117" s="19"/>
      <c r="L117" s="38"/>
      <c r="M117" s="38"/>
      <c r="N117" s="38"/>
      <c r="O117" s="38"/>
      <c r="P117" s="38"/>
    </row>
    <row r="118" ht="12.75" customHeight="1">
      <c r="A118" s="19"/>
      <c r="B118" s="19"/>
      <c r="C118" s="37"/>
      <c r="D118" s="19"/>
      <c r="E118" s="37"/>
      <c r="F118" s="19"/>
      <c r="G118" s="19"/>
      <c r="H118" s="19"/>
      <c r="I118" s="19"/>
      <c r="L118" s="38"/>
      <c r="M118" s="38"/>
      <c r="N118" s="38"/>
      <c r="O118" s="38"/>
      <c r="P118" s="38"/>
    </row>
    <row r="119" ht="12.75" customHeight="1">
      <c r="A119" s="19"/>
      <c r="B119" s="19"/>
      <c r="C119" s="37"/>
      <c r="D119" s="19"/>
      <c r="E119" s="37"/>
      <c r="F119" s="19"/>
      <c r="G119" s="19"/>
      <c r="H119" s="19"/>
      <c r="I119" s="19"/>
      <c r="L119" s="38"/>
      <c r="M119" s="38"/>
      <c r="N119" s="38"/>
      <c r="O119" s="38"/>
      <c r="P119" s="38"/>
    </row>
    <row r="120" ht="12.75" customHeight="1">
      <c r="A120" s="19"/>
      <c r="B120" s="19"/>
      <c r="C120" s="37"/>
      <c r="D120" s="19"/>
      <c r="E120" s="37"/>
      <c r="F120" s="19"/>
      <c r="G120" s="19"/>
      <c r="H120" s="19"/>
      <c r="I120" s="19"/>
      <c r="L120" s="38"/>
      <c r="M120" s="38"/>
      <c r="N120" s="38"/>
      <c r="O120" s="38"/>
      <c r="P120" s="38"/>
    </row>
    <row r="121" ht="12.75" customHeight="1">
      <c r="A121" s="19"/>
      <c r="B121" s="19"/>
      <c r="C121" s="37"/>
      <c r="D121" s="19"/>
      <c r="E121" s="37"/>
      <c r="F121" s="19"/>
      <c r="G121" s="19"/>
      <c r="H121" s="19"/>
      <c r="I121" s="19"/>
      <c r="L121" s="38"/>
      <c r="M121" s="38"/>
      <c r="N121" s="38"/>
      <c r="O121" s="38"/>
      <c r="P121" s="38"/>
    </row>
    <row r="122" ht="12.75" customHeight="1">
      <c r="A122" s="19"/>
      <c r="B122" s="19"/>
      <c r="C122" s="37"/>
      <c r="D122" s="19"/>
      <c r="E122" s="37"/>
      <c r="F122" s="19"/>
      <c r="G122" s="19"/>
      <c r="H122" s="19"/>
      <c r="I122" s="19"/>
      <c r="L122" s="38"/>
      <c r="M122" s="38"/>
      <c r="N122" s="38"/>
      <c r="O122" s="38"/>
      <c r="P122" s="38"/>
    </row>
    <row r="123" ht="12.75" customHeight="1">
      <c r="A123" s="19"/>
      <c r="B123" s="19"/>
      <c r="C123" s="37"/>
      <c r="D123" s="19"/>
      <c r="E123" s="37"/>
      <c r="F123" s="19"/>
      <c r="G123" s="19"/>
      <c r="H123" s="19"/>
      <c r="I123" s="19"/>
      <c r="L123" s="38"/>
      <c r="M123" s="38"/>
      <c r="N123" s="38"/>
      <c r="O123" s="38"/>
      <c r="P123" s="38"/>
    </row>
    <row r="124" ht="12.75" customHeight="1">
      <c r="A124" s="19"/>
      <c r="B124" s="19"/>
      <c r="C124" s="37"/>
      <c r="D124" s="19"/>
      <c r="E124" s="37"/>
      <c r="F124" s="19"/>
      <c r="G124" s="19"/>
      <c r="H124" s="19"/>
      <c r="I124" s="19"/>
      <c r="L124" s="38"/>
      <c r="M124" s="38"/>
      <c r="N124" s="38"/>
      <c r="O124" s="38"/>
      <c r="P124" s="38"/>
    </row>
    <row r="125" ht="12.75" customHeight="1">
      <c r="A125" s="19"/>
      <c r="B125" s="19"/>
      <c r="C125" s="37"/>
      <c r="D125" s="19"/>
      <c r="E125" s="37"/>
      <c r="F125" s="19"/>
      <c r="G125" s="19"/>
      <c r="H125" s="19"/>
      <c r="I125" s="19"/>
      <c r="L125" s="38"/>
      <c r="M125" s="38"/>
      <c r="N125" s="38"/>
      <c r="O125" s="38"/>
      <c r="P125" s="38"/>
    </row>
    <row r="126" ht="12.75" customHeight="1">
      <c r="A126" s="19"/>
      <c r="B126" s="19"/>
      <c r="C126" s="37"/>
      <c r="D126" s="19"/>
      <c r="E126" s="37"/>
      <c r="F126" s="19"/>
      <c r="G126" s="19"/>
      <c r="H126" s="19"/>
      <c r="I126" s="19"/>
      <c r="L126" s="38"/>
      <c r="M126" s="38"/>
      <c r="N126" s="38"/>
      <c r="O126" s="38"/>
      <c r="P126" s="38"/>
    </row>
    <row r="127" ht="12.75" customHeight="1">
      <c r="A127" s="19"/>
      <c r="B127" s="19"/>
      <c r="C127" s="37"/>
      <c r="D127" s="19"/>
      <c r="E127" s="37"/>
      <c r="F127" s="19"/>
      <c r="G127" s="19"/>
      <c r="H127" s="19"/>
      <c r="I127" s="19"/>
      <c r="L127" s="38"/>
      <c r="M127" s="38"/>
      <c r="N127" s="38"/>
      <c r="O127" s="38"/>
      <c r="P127" s="38"/>
    </row>
    <row r="128" ht="12.75" customHeight="1">
      <c r="A128" s="19"/>
      <c r="B128" s="19"/>
      <c r="C128" s="37"/>
      <c r="D128" s="19"/>
      <c r="E128" s="37"/>
      <c r="F128" s="19"/>
      <c r="G128" s="19"/>
      <c r="H128" s="19"/>
      <c r="I128" s="19"/>
      <c r="L128" s="38"/>
      <c r="M128" s="38"/>
      <c r="N128" s="38"/>
      <c r="O128" s="38"/>
      <c r="P128" s="38"/>
    </row>
    <row r="129" ht="12.75" customHeight="1">
      <c r="A129" s="19"/>
      <c r="B129" s="19"/>
      <c r="C129" s="37"/>
      <c r="D129" s="19"/>
      <c r="E129" s="37"/>
      <c r="F129" s="19"/>
      <c r="G129" s="19"/>
      <c r="H129" s="19"/>
      <c r="I129" s="19"/>
      <c r="L129" s="38"/>
      <c r="M129" s="38"/>
      <c r="N129" s="38"/>
      <c r="O129" s="38"/>
      <c r="P129" s="38"/>
    </row>
    <row r="130" ht="12.75" customHeight="1">
      <c r="A130" s="19"/>
      <c r="B130" s="19"/>
      <c r="C130" s="37"/>
      <c r="D130" s="19"/>
      <c r="E130" s="37"/>
      <c r="F130" s="19"/>
      <c r="G130" s="19"/>
      <c r="H130" s="19"/>
      <c r="I130" s="19"/>
      <c r="L130" s="38"/>
      <c r="M130" s="38"/>
      <c r="N130" s="38"/>
      <c r="O130" s="38"/>
      <c r="P130" s="38"/>
    </row>
    <row r="131" ht="12.75" customHeight="1">
      <c r="A131" s="19"/>
      <c r="B131" s="19"/>
      <c r="C131" s="37"/>
      <c r="D131" s="19"/>
      <c r="E131" s="37"/>
      <c r="F131" s="19"/>
      <c r="G131" s="19"/>
      <c r="H131" s="19"/>
      <c r="I131" s="19"/>
      <c r="L131" s="38"/>
      <c r="M131" s="38"/>
      <c r="N131" s="38"/>
      <c r="O131" s="38"/>
      <c r="P131" s="38"/>
    </row>
    <row r="132" ht="12.75" customHeight="1">
      <c r="A132" s="19"/>
      <c r="B132" s="19"/>
      <c r="C132" s="37"/>
      <c r="D132" s="19"/>
      <c r="E132" s="37"/>
      <c r="F132" s="19"/>
      <c r="G132" s="19"/>
      <c r="H132" s="19"/>
      <c r="I132" s="19"/>
      <c r="L132" s="38"/>
      <c r="M132" s="38"/>
      <c r="N132" s="38"/>
      <c r="O132" s="38"/>
      <c r="P132" s="38"/>
    </row>
    <row r="133" ht="12.75" customHeight="1">
      <c r="A133" s="19"/>
      <c r="B133" s="19"/>
      <c r="C133" s="37"/>
      <c r="D133" s="19"/>
      <c r="E133" s="37"/>
      <c r="F133" s="19"/>
      <c r="G133" s="19"/>
      <c r="H133" s="19"/>
      <c r="I133" s="19"/>
      <c r="L133" s="38"/>
      <c r="M133" s="38"/>
      <c r="N133" s="38"/>
      <c r="O133" s="38"/>
      <c r="P133" s="38"/>
    </row>
    <row r="134" ht="12.75" customHeight="1">
      <c r="A134" s="19"/>
      <c r="B134" s="19"/>
      <c r="C134" s="37"/>
      <c r="D134" s="19"/>
      <c r="E134" s="37"/>
      <c r="F134" s="19"/>
      <c r="G134" s="19"/>
      <c r="H134" s="19"/>
      <c r="I134" s="19"/>
      <c r="L134" s="38"/>
      <c r="M134" s="38"/>
      <c r="N134" s="38"/>
      <c r="O134" s="38"/>
      <c r="P134" s="38"/>
    </row>
    <row r="135" ht="12.75" customHeight="1">
      <c r="A135" s="19"/>
      <c r="B135" s="19"/>
      <c r="C135" s="37"/>
      <c r="D135" s="19"/>
      <c r="E135" s="37"/>
      <c r="F135" s="19"/>
      <c r="G135" s="19"/>
      <c r="H135" s="19"/>
      <c r="I135" s="19"/>
      <c r="L135" s="38"/>
      <c r="M135" s="38"/>
      <c r="N135" s="38"/>
      <c r="O135" s="38"/>
      <c r="P135" s="38"/>
    </row>
    <row r="136" ht="12.75" customHeight="1">
      <c r="A136" s="19"/>
      <c r="B136" s="19"/>
      <c r="C136" s="37"/>
      <c r="D136" s="19"/>
      <c r="E136" s="37"/>
      <c r="F136" s="19"/>
      <c r="G136" s="19"/>
      <c r="H136" s="19"/>
      <c r="I136" s="19"/>
      <c r="L136" s="38"/>
      <c r="M136" s="38"/>
      <c r="N136" s="38"/>
      <c r="O136" s="38"/>
      <c r="P136" s="38"/>
    </row>
    <row r="137" ht="12.75" customHeight="1">
      <c r="A137" s="19"/>
      <c r="B137" s="19"/>
      <c r="C137" s="37"/>
      <c r="D137" s="19"/>
      <c r="E137" s="37"/>
      <c r="F137" s="19"/>
      <c r="G137" s="19"/>
      <c r="H137" s="19"/>
      <c r="I137" s="19"/>
      <c r="L137" s="38"/>
      <c r="M137" s="38"/>
      <c r="N137" s="38"/>
      <c r="O137" s="38"/>
      <c r="P137" s="38"/>
    </row>
    <row r="138" ht="12.75" customHeight="1">
      <c r="A138" s="19"/>
      <c r="B138" s="19"/>
      <c r="C138" s="37"/>
      <c r="D138" s="19"/>
      <c r="E138" s="37"/>
      <c r="F138" s="19"/>
      <c r="G138" s="19"/>
      <c r="H138" s="19"/>
      <c r="I138" s="19"/>
      <c r="L138" s="38"/>
      <c r="M138" s="38"/>
      <c r="N138" s="38"/>
      <c r="O138" s="38"/>
      <c r="P138" s="38"/>
    </row>
    <row r="139" ht="12.75" customHeight="1">
      <c r="A139" s="19"/>
      <c r="B139" s="19"/>
      <c r="C139" s="37"/>
      <c r="D139" s="19"/>
      <c r="E139" s="37"/>
      <c r="F139" s="19"/>
      <c r="G139" s="19"/>
      <c r="H139" s="19"/>
      <c r="I139" s="19"/>
      <c r="L139" s="38"/>
      <c r="M139" s="38"/>
      <c r="N139" s="38"/>
      <c r="O139" s="38"/>
      <c r="P139" s="38"/>
    </row>
    <row r="140" ht="12.75" customHeight="1">
      <c r="A140" s="19"/>
      <c r="B140" s="19"/>
      <c r="C140" s="37"/>
      <c r="D140" s="19"/>
      <c r="E140" s="37"/>
      <c r="F140" s="19"/>
      <c r="G140" s="19"/>
      <c r="H140" s="19"/>
      <c r="I140" s="19"/>
      <c r="L140" s="38"/>
      <c r="M140" s="38"/>
      <c r="N140" s="38"/>
      <c r="O140" s="38"/>
      <c r="P140" s="38"/>
    </row>
    <row r="141" ht="12.75" customHeight="1">
      <c r="A141" s="19"/>
      <c r="B141" s="19"/>
      <c r="C141" s="37"/>
      <c r="D141" s="19"/>
      <c r="E141" s="37"/>
      <c r="F141" s="19"/>
      <c r="G141" s="19"/>
      <c r="H141" s="19"/>
      <c r="I141" s="19"/>
      <c r="L141" s="38"/>
      <c r="M141" s="38"/>
      <c r="N141" s="38"/>
      <c r="O141" s="38"/>
      <c r="P141" s="38"/>
    </row>
    <row r="142" ht="12.75" customHeight="1">
      <c r="A142" s="19"/>
      <c r="B142" s="19"/>
      <c r="C142" s="37"/>
      <c r="D142" s="19"/>
      <c r="E142" s="37"/>
      <c r="F142" s="19"/>
      <c r="G142" s="19"/>
      <c r="H142" s="19"/>
      <c r="I142" s="19"/>
      <c r="L142" s="38"/>
      <c r="M142" s="38"/>
      <c r="N142" s="38"/>
      <c r="O142" s="38"/>
      <c r="P142" s="38"/>
    </row>
    <row r="143" ht="12.75" customHeight="1">
      <c r="A143" s="19"/>
      <c r="B143" s="19"/>
      <c r="C143" s="37"/>
      <c r="D143" s="19"/>
      <c r="E143" s="37"/>
      <c r="F143" s="19"/>
      <c r="G143" s="19"/>
      <c r="H143" s="19"/>
      <c r="I143" s="19"/>
      <c r="L143" s="38"/>
      <c r="M143" s="38"/>
      <c r="N143" s="38"/>
      <c r="O143" s="38"/>
      <c r="P143" s="38"/>
    </row>
    <row r="144" ht="12.75" customHeight="1">
      <c r="A144" s="19"/>
      <c r="B144" s="19"/>
      <c r="C144" s="37"/>
      <c r="D144" s="19"/>
      <c r="E144" s="37"/>
      <c r="F144" s="19"/>
      <c r="G144" s="19"/>
      <c r="H144" s="19"/>
      <c r="I144" s="19"/>
      <c r="L144" s="38"/>
      <c r="M144" s="38"/>
      <c r="N144" s="38"/>
      <c r="O144" s="38"/>
      <c r="P144" s="38"/>
    </row>
    <row r="145" ht="12.75" customHeight="1">
      <c r="A145" s="19"/>
      <c r="B145" s="19"/>
      <c r="C145" s="37"/>
      <c r="D145" s="19"/>
      <c r="E145" s="37"/>
      <c r="F145" s="19"/>
      <c r="G145" s="19"/>
      <c r="H145" s="19"/>
      <c r="I145" s="19"/>
      <c r="L145" s="38"/>
      <c r="M145" s="38"/>
      <c r="N145" s="38"/>
      <c r="O145" s="38"/>
      <c r="P145" s="38"/>
    </row>
    <row r="146" ht="12.75" customHeight="1">
      <c r="A146" s="19"/>
      <c r="B146" s="19"/>
      <c r="C146" s="37"/>
      <c r="D146" s="19"/>
      <c r="E146" s="37"/>
      <c r="F146" s="19"/>
      <c r="G146" s="19"/>
      <c r="H146" s="19"/>
      <c r="I146" s="19"/>
      <c r="L146" s="38"/>
      <c r="M146" s="38"/>
      <c r="N146" s="38"/>
      <c r="O146" s="38"/>
      <c r="P146" s="38"/>
    </row>
    <row r="147" ht="12.75" customHeight="1">
      <c r="A147" s="19"/>
      <c r="B147" s="19"/>
      <c r="C147" s="37"/>
      <c r="D147" s="19"/>
      <c r="E147" s="37"/>
      <c r="F147" s="19"/>
      <c r="G147" s="19"/>
      <c r="H147" s="19"/>
      <c r="I147" s="19"/>
      <c r="L147" s="38"/>
      <c r="M147" s="38"/>
      <c r="N147" s="38"/>
      <c r="O147" s="38"/>
      <c r="P147" s="38"/>
    </row>
    <row r="148" ht="12.75" customHeight="1">
      <c r="A148" s="19"/>
      <c r="B148" s="19"/>
      <c r="C148" s="37"/>
      <c r="D148" s="19"/>
      <c r="E148" s="37"/>
      <c r="F148" s="19"/>
      <c r="G148" s="19"/>
      <c r="H148" s="19"/>
      <c r="I148" s="19"/>
      <c r="L148" s="38"/>
      <c r="M148" s="38"/>
      <c r="N148" s="38"/>
      <c r="O148" s="38"/>
      <c r="P148" s="38"/>
    </row>
    <row r="149" ht="12.75" customHeight="1">
      <c r="A149" s="19"/>
      <c r="B149" s="19"/>
      <c r="C149" s="37"/>
      <c r="D149" s="19"/>
      <c r="E149" s="37"/>
      <c r="F149" s="19"/>
      <c r="G149" s="19"/>
      <c r="H149" s="19"/>
      <c r="I149" s="19"/>
      <c r="L149" s="38"/>
      <c r="M149" s="38"/>
      <c r="N149" s="38"/>
      <c r="O149" s="38"/>
      <c r="P149" s="38"/>
    </row>
    <row r="150" ht="12.75" customHeight="1">
      <c r="A150" s="19"/>
      <c r="B150" s="19"/>
      <c r="C150" s="37"/>
      <c r="D150" s="19"/>
      <c r="E150" s="37"/>
      <c r="F150" s="19"/>
      <c r="G150" s="19"/>
      <c r="H150" s="19"/>
      <c r="I150" s="19"/>
      <c r="L150" s="38"/>
      <c r="M150" s="38"/>
      <c r="N150" s="38"/>
      <c r="O150" s="38"/>
      <c r="P150" s="38"/>
    </row>
    <row r="151" ht="12.75" customHeight="1">
      <c r="A151" s="19"/>
      <c r="B151" s="19"/>
      <c r="C151" s="37"/>
      <c r="D151" s="19"/>
      <c r="E151" s="37"/>
      <c r="F151" s="19"/>
      <c r="G151" s="19"/>
      <c r="H151" s="19"/>
      <c r="I151" s="19"/>
      <c r="L151" s="38"/>
      <c r="M151" s="38"/>
      <c r="N151" s="38"/>
      <c r="O151" s="38"/>
      <c r="P151" s="38"/>
    </row>
    <row r="152" ht="12.75" customHeight="1">
      <c r="A152" s="19"/>
      <c r="B152" s="19"/>
      <c r="C152" s="37"/>
      <c r="D152" s="19"/>
      <c r="E152" s="37"/>
      <c r="F152" s="19"/>
      <c r="G152" s="19"/>
      <c r="H152" s="19"/>
      <c r="I152" s="19"/>
      <c r="L152" s="38"/>
      <c r="M152" s="38"/>
      <c r="N152" s="38"/>
      <c r="O152" s="38"/>
      <c r="P152" s="38"/>
    </row>
    <row r="153" ht="12.75" customHeight="1">
      <c r="A153" s="19"/>
      <c r="B153" s="19"/>
      <c r="C153" s="37"/>
      <c r="D153" s="19"/>
      <c r="E153" s="37"/>
      <c r="F153" s="19"/>
      <c r="G153" s="19"/>
      <c r="H153" s="19"/>
      <c r="I153" s="19"/>
      <c r="L153" s="38"/>
      <c r="M153" s="38"/>
      <c r="N153" s="38"/>
      <c r="O153" s="38"/>
      <c r="P153" s="38"/>
    </row>
    <row r="154" ht="12.75" customHeight="1">
      <c r="A154" s="19"/>
      <c r="B154" s="19"/>
      <c r="C154" s="37"/>
      <c r="D154" s="19"/>
      <c r="E154" s="37"/>
      <c r="F154" s="19"/>
      <c r="G154" s="19"/>
      <c r="H154" s="19"/>
      <c r="I154" s="19"/>
      <c r="L154" s="38"/>
      <c r="M154" s="38"/>
      <c r="N154" s="38"/>
      <c r="O154" s="38"/>
      <c r="P154" s="38"/>
    </row>
    <row r="155" ht="12.75" customHeight="1">
      <c r="A155" s="19"/>
      <c r="B155" s="19"/>
      <c r="C155" s="37"/>
      <c r="D155" s="19"/>
      <c r="E155" s="37"/>
      <c r="F155" s="19"/>
      <c r="G155" s="19"/>
      <c r="H155" s="19"/>
      <c r="I155" s="19"/>
      <c r="L155" s="38"/>
      <c r="M155" s="38"/>
      <c r="N155" s="38"/>
      <c r="O155" s="38"/>
      <c r="P155" s="38"/>
    </row>
    <row r="156" ht="12.75" customHeight="1">
      <c r="A156" s="19"/>
      <c r="B156" s="19"/>
      <c r="C156" s="37"/>
      <c r="D156" s="19"/>
      <c r="E156" s="37"/>
      <c r="F156" s="19"/>
      <c r="G156" s="19"/>
      <c r="H156" s="19"/>
      <c r="I156" s="19"/>
      <c r="L156" s="38"/>
      <c r="M156" s="38"/>
      <c r="N156" s="38"/>
      <c r="O156" s="38"/>
      <c r="P156" s="38"/>
    </row>
    <row r="157" ht="12.75" customHeight="1">
      <c r="A157" s="19"/>
      <c r="B157" s="19"/>
      <c r="C157" s="37"/>
      <c r="D157" s="19"/>
      <c r="E157" s="37"/>
      <c r="F157" s="19"/>
      <c r="G157" s="19"/>
      <c r="H157" s="19"/>
      <c r="I157" s="19"/>
      <c r="L157" s="38"/>
      <c r="M157" s="38"/>
      <c r="N157" s="38"/>
      <c r="O157" s="38"/>
      <c r="P157" s="38"/>
    </row>
    <row r="158" ht="12.75" customHeight="1">
      <c r="A158" s="19"/>
      <c r="B158" s="19"/>
      <c r="C158" s="37"/>
      <c r="D158" s="19"/>
      <c r="E158" s="37"/>
      <c r="F158" s="19"/>
      <c r="G158" s="19"/>
      <c r="H158" s="19"/>
      <c r="I158" s="19"/>
      <c r="L158" s="38"/>
      <c r="M158" s="38"/>
      <c r="N158" s="38"/>
      <c r="O158" s="38"/>
      <c r="P158" s="38"/>
    </row>
    <row r="159" ht="12.75" customHeight="1">
      <c r="A159" s="19"/>
      <c r="B159" s="19"/>
      <c r="C159" s="37"/>
      <c r="D159" s="19"/>
      <c r="E159" s="37"/>
      <c r="F159" s="19"/>
      <c r="G159" s="19"/>
      <c r="H159" s="19"/>
      <c r="I159" s="19"/>
      <c r="L159" s="38"/>
      <c r="M159" s="38"/>
      <c r="N159" s="38"/>
      <c r="O159" s="38"/>
      <c r="P159" s="38"/>
    </row>
    <row r="160" ht="12.75" customHeight="1">
      <c r="A160" s="19"/>
      <c r="B160" s="19"/>
      <c r="C160" s="37"/>
      <c r="D160" s="19"/>
      <c r="E160" s="37"/>
      <c r="F160" s="19"/>
      <c r="G160" s="19"/>
      <c r="H160" s="19"/>
      <c r="I160" s="19"/>
      <c r="L160" s="38"/>
      <c r="M160" s="38"/>
      <c r="N160" s="38"/>
      <c r="O160" s="38"/>
      <c r="P160" s="38"/>
    </row>
    <row r="161" ht="12.75" customHeight="1">
      <c r="A161" s="19"/>
      <c r="B161" s="19"/>
      <c r="C161" s="37"/>
      <c r="D161" s="19"/>
      <c r="E161" s="37"/>
      <c r="F161" s="19"/>
      <c r="G161" s="19"/>
      <c r="H161" s="19"/>
      <c r="I161" s="19"/>
      <c r="L161" s="38"/>
      <c r="M161" s="38"/>
      <c r="N161" s="38"/>
      <c r="O161" s="38"/>
      <c r="P161" s="38"/>
    </row>
    <row r="162" ht="12.75" customHeight="1">
      <c r="A162" s="19"/>
      <c r="B162" s="19"/>
      <c r="C162" s="37"/>
      <c r="D162" s="19"/>
      <c r="E162" s="37"/>
      <c r="F162" s="19"/>
      <c r="G162" s="19"/>
      <c r="H162" s="19"/>
      <c r="I162" s="19"/>
      <c r="L162" s="38"/>
      <c r="M162" s="38"/>
      <c r="N162" s="38"/>
      <c r="O162" s="38"/>
      <c r="P162" s="38"/>
    </row>
    <row r="163" ht="12.75" customHeight="1">
      <c r="A163" s="19"/>
      <c r="B163" s="19"/>
      <c r="C163" s="37"/>
      <c r="D163" s="19"/>
      <c r="E163" s="37"/>
      <c r="F163" s="19"/>
      <c r="G163" s="19"/>
      <c r="H163" s="19"/>
      <c r="I163" s="19"/>
      <c r="L163" s="38"/>
      <c r="M163" s="38"/>
      <c r="N163" s="38"/>
      <c r="O163" s="38"/>
      <c r="P163" s="38"/>
    </row>
    <row r="164" ht="12.75" customHeight="1">
      <c r="A164" s="19"/>
      <c r="B164" s="19"/>
      <c r="C164" s="37"/>
      <c r="D164" s="19"/>
      <c r="E164" s="37"/>
      <c r="F164" s="19"/>
      <c r="G164" s="19"/>
      <c r="H164" s="19"/>
      <c r="I164" s="19"/>
      <c r="L164" s="38"/>
      <c r="M164" s="38"/>
      <c r="N164" s="38"/>
      <c r="O164" s="38"/>
      <c r="P164" s="38"/>
    </row>
    <row r="165" ht="12.75" customHeight="1">
      <c r="A165" s="19"/>
      <c r="B165" s="19"/>
      <c r="C165" s="37"/>
      <c r="D165" s="19"/>
      <c r="E165" s="37"/>
      <c r="F165" s="19"/>
      <c r="G165" s="19"/>
      <c r="H165" s="19"/>
      <c r="I165" s="19"/>
      <c r="L165" s="38"/>
      <c r="M165" s="38"/>
      <c r="N165" s="38"/>
      <c r="O165" s="38"/>
      <c r="P165" s="38"/>
    </row>
    <row r="166" ht="12.75" customHeight="1">
      <c r="A166" s="19"/>
      <c r="B166" s="19"/>
      <c r="C166" s="37"/>
      <c r="D166" s="19"/>
      <c r="E166" s="37"/>
      <c r="F166" s="19"/>
      <c r="G166" s="19"/>
      <c r="H166" s="19"/>
      <c r="I166" s="19"/>
      <c r="L166" s="38"/>
      <c r="M166" s="38"/>
      <c r="N166" s="38"/>
      <c r="O166" s="38"/>
      <c r="P166" s="38"/>
    </row>
    <row r="167" ht="12.75" customHeight="1">
      <c r="A167" s="19"/>
      <c r="B167" s="19"/>
      <c r="C167" s="37"/>
      <c r="D167" s="19"/>
      <c r="E167" s="37"/>
      <c r="F167" s="19"/>
      <c r="G167" s="19"/>
      <c r="H167" s="19"/>
      <c r="I167" s="19"/>
      <c r="L167" s="38"/>
      <c r="M167" s="38"/>
      <c r="N167" s="38"/>
      <c r="O167" s="38"/>
      <c r="P167" s="38"/>
    </row>
    <row r="168" ht="12.75" customHeight="1">
      <c r="A168" s="19"/>
      <c r="B168" s="19"/>
      <c r="C168" s="37"/>
      <c r="D168" s="19"/>
      <c r="E168" s="37"/>
      <c r="F168" s="19"/>
      <c r="G168" s="19"/>
      <c r="H168" s="19"/>
      <c r="I168" s="19"/>
      <c r="L168" s="38"/>
      <c r="M168" s="38"/>
      <c r="N168" s="38"/>
      <c r="O168" s="38"/>
      <c r="P168" s="38"/>
    </row>
    <row r="169" ht="12.75" customHeight="1">
      <c r="A169" s="19"/>
      <c r="B169" s="19"/>
      <c r="C169" s="37"/>
      <c r="D169" s="19"/>
      <c r="E169" s="37"/>
      <c r="F169" s="19"/>
      <c r="G169" s="19"/>
      <c r="H169" s="19"/>
      <c r="I169" s="19"/>
      <c r="L169" s="38"/>
      <c r="M169" s="38"/>
      <c r="N169" s="38"/>
      <c r="O169" s="38"/>
      <c r="P169" s="38"/>
    </row>
    <row r="170" ht="12.75" customHeight="1">
      <c r="A170" s="19"/>
      <c r="B170" s="19"/>
      <c r="C170" s="37"/>
      <c r="D170" s="19"/>
      <c r="E170" s="37"/>
      <c r="F170" s="19"/>
      <c r="G170" s="19"/>
      <c r="H170" s="19"/>
      <c r="I170" s="19"/>
      <c r="L170" s="38"/>
      <c r="M170" s="38"/>
      <c r="N170" s="38"/>
      <c r="O170" s="38"/>
      <c r="P170" s="38"/>
    </row>
    <row r="171" ht="12.75" customHeight="1">
      <c r="A171" s="19"/>
      <c r="B171" s="19"/>
      <c r="C171" s="37"/>
      <c r="D171" s="19"/>
      <c r="E171" s="37"/>
      <c r="F171" s="19"/>
      <c r="G171" s="19"/>
      <c r="H171" s="19"/>
      <c r="I171" s="19"/>
      <c r="L171" s="38"/>
      <c r="M171" s="38"/>
      <c r="N171" s="38"/>
      <c r="O171" s="38"/>
      <c r="P171" s="38"/>
    </row>
    <row r="172" ht="12.75" customHeight="1">
      <c r="A172" s="19"/>
      <c r="B172" s="19"/>
      <c r="C172" s="37"/>
      <c r="D172" s="19"/>
      <c r="E172" s="37"/>
      <c r="F172" s="19"/>
      <c r="G172" s="19"/>
      <c r="H172" s="19"/>
      <c r="I172" s="19"/>
      <c r="L172" s="38"/>
      <c r="M172" s="38"/>
      <c r="N172" s="38"/>
      <c r="O172" s="38"/>
      <c r="P172" s="38"/>
    </row>
    <row r="173" ht="12.75" customHeight="1">
      <c r="A173" s="19"/>
      <c r="B173" s="19"/>
      <c r="C173" s="37"/>
      <c r="D173" s="19"/>
      <c r="E173" s="37"/>
      <c r="F173" s="19"/>
      <c r="G173" s="19"/>
      <c r="H173" s="19"/>
      <c r="I173" s="19"/>
      <c r="L173" s="38"/>
      <c r="M173" s="38"/>
      <c r="N173" s="38"/>
      <c r="O173" s="38"/>
      <c r="P173" s="38"/>
    </row>
    <row r="174" ht="12.75" customHeight="1">
      <c r="A174" s="19"/>
      <c r="B174" s="19"/>
      <c r="C174" s="37"/>
      <c r="D174" s="19"/>
      <c r="E174" s="37"/>
      <c r="F174" s="19"/>
      <c r="G174" s="19"/>
      <c r="H174" s="19"/>
      <c r="I174" s="19"/>
      <c r="L174" s="38"/>
      <c r="M174" s="38"/>
      <c r="N174" s="38"/>
      <c r="O174" s="38"/>
      <c r="P174" s="38"/>
    </row>
    <row r="175" ht="12.75" customHeight="1">
      <c r="A175" s="19"/>
      <c r="B175" s="19"/>
      <c r="C175" s="37"/>
      <c r="D175" s="19"/>
      <c r="E175" s="37"/>
      <c r="F175" s="19"/>
      <c r="G175" s="19"/>
      <c r="H175" s="19"/>
      <c r="I175" s="19"/>
      <c r="L175" s="38"/>
      <c r="M175" s="38"/>
      <c r="N175" s="38"/>
      <c r="O175" s="38"/>
      <c r="P175" s="38"/>
    </row>
    <row r="176" ht="12.75" customHeight="1">
      <c r="A176" s="19"/>
      <c r="B176" s="19"/>
      <c r="C176" s="37"/>
      <c r="D176" s="19"/>
      <c r="E176" s="37"/>
      <c r="F176" s="19"/>
      <c r="G176" s="19"/>
      <c r="H176" s="19"/>
      <c r="I176" s="19"/>
      <c r="L176" s="38"/>
      <c r="M176" s="38"/>
      <c r="N176" s="38"/>
      <c r="O176" s="38"/>
      <c r="P176" s="38"/>
    </row>
    <row r="177" ht="12.75" customHeight="1">
      <c r="A177" s="19"/>
      <c r="B177" s="19"/>
      <c r="C177" s="37"/>
      <c r="D177" s="19"/>
      <c r="E177" s="37"/>
      <c r="F177" s="19"/>
      <c r="G177" s="19"/>
      <c r="H177" s="19"/>
      <c r="I177" s="19"/>
      <c r="L177" s="38"/>
      <c r="M177" s="38"/>
      <c r="N177" s="38"/>
      <c r="O177" s="38"/>
      <c r="P177" s="38"/>
    </row>
    <row r="178" ht="12.75" customHeight="1">
      <c r="A178" s="19"/>
      <c r="B178" s="19"/>
      <c r="C178" s="37"/>
      <c r="D178" s="19"/>
      <c r="E178" s="37"/>
      <c r="F178" s="19"/>
      <c r="G178" s="19"/>
      <c r="H178" s="19"/>
      <c r="I178" s="19"/>
      <c r="L178" s="38"/>
      <c r="M178" s="38"/>
      <c r="N178" s="38"/>
      <c r="O178" s="38"/>
      <c r="P178" s="38"/>
    </row>
    <row r="179" ht="12.75" customHeight="1">
      <c r="A179" s="19"/>
      <c r="B179" s="19"/>
      <c r="C179" s="37"/>
      <c r="D179" s="19"/>
      <c r="E179" s="37"/>
      <c r="F179" s="19"/>
      <c r="G179" s="19"/>
      <c r="H179" s="19"/>
      <c r="I179" s="19"/>
      <c r="L179" s="38"/>
      <c r="M179" s="38"/>
      <c r="N179" s="38"/>
      <c r="O179" s="38"/>
      <c r="P179" s="38"/>
    </row>
    <row r="180" ht="12.75" customHeight="1">
      <c r="A180" s="19"/>
      <c r="B180" s="19"/>
      <c r="C180" s="37"/>
      <c r="D180" s="19"/>
      <c r="E180" s="37"/>
      <c r="F180" s="19"/>
      <c r="G180" s="19"/>
      <c r="H180" s="19"/>
      <c r="I180" s="19"/>
      <c r="L180" s="38"/>
      <c r="M180" s="38"/>
      <c r="N180" s="38"/>
      <c r="O180" s="38"/>
      <c r="P180" s="38"/>
    </row>
    <row r="181" ht="12.75" customHeight="1">
      <c r="A181" s="19"/>
      <c r="B181" s="19"/>
      <c r="C181" s="37"/>
      <c r="D181" s="19"/>
      <c r="E181" s="37"/>
      <c r="F181" s="19"/>
      <c r="G181" s="19"/>
      <c r="H181" s="19"/>
      <c r="I181" s="19"/>
      <c r="L181" s="38"/>
      <c r="M181" s="38"/>
      <c r="N181" s="38"/>
      <c r="O181" s="38"/>
      <c r="P181" s="38"/>
    </row>
    <row r="182" ht="12.75" customHeight="1">
      <c r="A182" s="19"/>
      <c r="B182" s="19"/>
      <c r="C182" s="37"/>
      <c r="D182" s="19"/>
      <c r="E182" s="37"/>
      <c r="F182" s="19"/>
      <c r="G182" s="19"/>
      <c r="H182" s="19"/>
      <c r="I182" s="19"/>
      <c r="L182" s="38"/>
      <c r="M182" s="38"/>
      <c r="N182" s="38"/>
      <c r="O182" s="38"/>
      <c r="P182" s="38"/>
    </row>
    <row r="183" ht="12.75" customHeight="1">
      <c r="A183" s="19"/>
      <c r="B183" s="19"/>
      <c r="C183" s="37"/>
      <c r="D183" s="19"/>
      <c r="E183" s="37"/>
      <c r="F183" s="19"/>
      <c r="G183" s="19"/>
      <c r="H183" s="19"/>
      <c r="I183" s="19"/>
      <c r="L183" s="38"/>
      <c r="M183" s="38"/>
      <c r="N183" s="38"/>
      <c r="O183" s="38"/>
      <c r="P183" s="38"/>
    </row>
    <row r="184" ht="12.75" customHeight="1">
      <c r="A184" s="19"/>
      <c r="B184" s="19"/>
      <c r="C184" s="37"/>
      <c r="D184" s="19"/>
      <c r="E184" s="37"/>
      <c r="F184" s="19"/>
      <c r="G184" s="19"/>
      <c r="H184" s="19"/>
      <c r="I184" s="19"/>
      <c r="L184" s="38"/>
      <c r="M184" s="38"/>
      <c r="N184" s="38"/>
      <c r="O184" s="38"/>
      <c r="P184" s="38"/>
    </row>
    <row r="185" ht="12.75" customHeight="1">
      <c r="A185" s="19"/>
      <c r="B185" s="19"/>
      <c r="C185" s="37"/>
      <c r="D185" s="19"/>
      <c r="E185" s="37"/>
      <c r="F185" s="19"/>
      <c r="G185" s="19"/>
      <c r="H185" s="19"/>
      <c r="I185" s="19"/>
      <c r="L185" s="38"/>
      <c r="M185" s="38"/>
      <c r="N185" s="38"/>
      <c r="O185" s="38"/>
      <c r="P185" s="38"/>
    </row>
    <row r="186" ht="12.75" customHeight="1">
      <c r="A186" s="19"/>
      <c r="B186" s="19"/>
      <c r="C186" s="37"/>
      <c r="D186" s="19"/>
      <c r="E186" s="37"/>
      <c r="F186" s="19"/>
      <c r="G186" s="19"/>
      <c r="H186" s="19"/>
      <c r="I186" s="19"/>
      <c r="L186" s="38"/>
      <c r="M186" s="38"/>
      <c r="N186" s="38"/>
      <c r="O186" s="38"/>
      <c r="P186" s="38"/>
    </row>
    <row r="187" ht="12.75" customHeight="1">
      <c r="A187" s="19"/>
      <c r="B187" s="19"/>
      <c r="C187" s="37"/>
      <c r="D187" s="19"/>
      <c r="E187" s="37"/>
      <c r="F187" s="19"/>
      <c r="G187" s="19"/>
      <c r="H187" s="19"/>
      <c r="I187" s="19"/>
      <c r="L187" s="38"/>
      <c r="M187" s="38"/>
      <c r="N187" s="38"/>
      <c r="O187" s="38"/>
      <c r="P187" s="38"/>
    </row>
    <row r="188" ht="12.75" customHeight="1">
      <c r="A188" s="19"/>
      <c r="B188" s="19"/>
      <c r="C188" s="37"/>
      <c r="D188" s="19"/>
      <c r="E188" s="37"/>
      <c r="F188" s="19"/>
      <c r="G188" s="19"/>
      <c r="H188" s="19"/>
      <c r="I188" s="19"/>
      <c r="L188" s="38"/>
      <c r="M188" s="38"/>
      <c r="N188" s="38"/>
      <c r="O188" s="38"/>
      <c r="P188" s="38"/>
    </row>
    <row r="189" ht="12.75" customHeight="1">
      <c r="A189" s="19"/>
      <c r="B189" s="19"/>
      <c r="C189" s="37"/>
      <c r="D189" s="19"/>
      <c r="E189" s="37"/>
      <c r="F189" s="19"/>
      <c r="G189" s="19"/>
      <c r="H189" s="19"/>
      <c r="I189" s="19"/>
      <c r="L189" s="38"/>
      <c r="M189" s="38"/>
      <c r="N189" s="38"/>
      <c r="O189" s="38"/>
      <c r="P189" s="38"/>
    </row>
    <row r="190" ht="12.75" customHeight="1">
      <c r="A190" s="19"/>
      <c r="B190" s="19"/>
      <c r="C190" s="37"/>
      <c r="D190" s="19"/>
      <c r="E190" s="37"/>
      <c r="F190" s="19"/>
      <c r="G190" s="19"/>
      <c r="H190" s="19"/>
      <c r="I190" s="19"/>
      <c r="L190" s="38"/>
      <c r="M190" s="38"/>
      <c r="N190" s="38"/>
      <c r="O190" s="38"/>
      <c r="P190" s="38"/>
    </row>
    <row r="191" ht="12.75" customHeight="1">
      <c r="A191" s="19"/>
      <c r="B191" s="19"/>
      <c r="C191" s="37"/>
      <c r="D191" s="19"/>
      <c r="E191" s="37"/>
      <c r="F191" s="19"/>
      <c r="G191" s="19"/>
      <c r="H191" s="19"/>
      <c r="I191" s="19"/>
      <c r="L191" s="38"/>
      <c r="M191" s="38"/>
      <c r="N191" s="38"/>
      <c r="O191" s="38"/>
      <c r="P191" s="38"/>
    </row>
    <row r="192" ht="12.75" customHeight="1">
      <c r="A192" s="19"/>
      <c r="B192" s="19"/>
      <c r="C192" s="37"/>
      <c r="D192" s="19"/>
      <c r="E192" s="37"/>
      <c r="F192" s="19"/>
      <c r="G192" s="19"/>
      <c r="H192" s="19"/>
      <c r="I192" s="19"/>
      <c r="L192" s="38"/>
      <c r="M192" s="38"/>
      <c r="N192" s="38"/>
      <c r="O192" s="38"/>
      <c r="P192" s="38"/>
    </row>
    <row r="193" ht="12.75" customHeight="1">
      <c r="A193" s="19"/>
      <c r="B193" s="19"/>
      <c r="C193" s="37"/>
      <c r="D193" s="19"/>
      <c r="E193" s="37"/>
      <c r="F193" s="19"/>
      <c r="G193" s="19"/>
      <c r="H193" s="19"/>
      <c r="I193" s="19"/>
      <c r="L193" s="38"/>
      <c r="M193" s="38"/>
      <c r="N193" s="38"/>
      <c r="O193" s="38"/>
      <c r="P193" s="38"/>
    </row>
    <row r="194" ht="12.75" customHeight="1">
      <c r="A194" s="19"/>
      <c r="B194" s="19"/>
      <c r="C194" s="37"/>
      <c r="D194" s="19"/>
      <c r="E194" s="37"/>
      <c r="F194" s="19"/>
      <c r="G194" s="19"/>
      <c r="H194" s="19"/>
      <c r="I194" s="19"/>
      <c r="L194" s="38"/>
      <c r="M194" s="38"/>
      <c r="N194" s="38"/>
      <c r="O194" s="38"/>
      <c r="P194" s="38"/>
    </row>
    <row r="195" ht="12.75" customHeight="1">
      <c r="A195" s="19"/>
      <c r="B195" s="19"/>
      <c r="C195" s="37"/>
      <c r="D195" s="19"/>
      <c r="E195" s="37"/>
      <c r="F195" s="19"/>
      <c r="G195" s="19"/>
      <c r="H195" s="19"/>
      <c r="I195" s="19"/>
      <c r="L195" s="38"/>
      <c r="M195" s="38"/>
      <c r="N195" s="38"/>
      <c r="O195" s="38"/>
      <c r="P195" s="38"/>
    </row>
    <row r="196" ht="12.75" customHeight="1">
      <c r="A196" s="19"/>
      <c r="B196" s="19"/>
      <c r="C196" s="37"/>
      <c r="D196" s="19"/>
      <c r="E196" s="37"/>
      <c r="F196" s="19"/>
      <c r="G196" s="19"/>
      <c r="H196" s="19"/>
      <c r="I196" s="19"/>
      <c r="L196" s="38"/>
      <c r="M196" s="38"/>
      <c r="N196" s="38"/>
      <c r="O196" s="38"/>
      <c r="P196" s="38"/>
    </row>
    <row r="197" ht="12.75" customHeight="1">
      <c r="A197" s="19"/>
      <c r="B197" s="19"/>
      <c r="C197" s="37"/>
      <c r="D197" s="19"/>
      <c r="E197" s="37"/>
      <c r="F197" s="19"/>
      <c r="G197" s="19"/>
      <c r="H197" s="19"/>
      <c r="I197" s="19"/>
      <c r="L197" s="38"/>
      <c r="M197" s="38"/>
      <c r="N197" s="38"/>
      <c r="O197" s="38"/>
      <c r="P197" s="38"/>
    </row>
    <row r="198" ht="12.75" customHeight="1">
      <c r="A198" s="19"/>
      <c r="B198" s="19"/>
      <c r="C198" s="37"/>
      <c r="D198" s="19"/>
      <c r="E198" s="37"/>
      <c r="F198" s="19"/>
      <c r="G198" s="19"/>
      <c r="H198" s="19"/>
      <c r="I198" s="19"/>
      <c r="L198" s="38"/>
      <c r="M198" s="38"/>
      <c r="N198" s="38"/>
      <c r="O198" s="38"/>
      <c r="P198" s="38"/>
    </row>
    <row r="199" ht="12.75" customHeight="1">
      <c r="A199" s="19"/>
      <c r="B199" s="19"/>
      <c r="C199" s="37"/>
      <c r="D199" s="19"/>
      <c r="E199" s="37"/>
      <c r="F199" s="19"/>
      <c r="G199" s="19"/>
      <c r="H199" s="19"/>
      <c r="I199" s="19"/>
      <c r="L199" s="38"/>
      <c r="M199" s="38"/>
      <c r="N199" s="38"/>
      <c r="O199" s="38"/>
      <c r="P199" s="38"/>
    </row>
    <row r="200" ht="12.75" customHeight="1">
      <c r="A200" s="19"/>
      <c r="B200" s="19"/>
      <c r="C200" s="37"/>
      <c r="D200" s="19"/>
      <c r="E200" s="37"/>
      <c r="F200" s="19"/>
      <c r="G200" s="19"/>
      <c r="H200" s="19"/>
      <c r="I200" s="19"/>
      <c r="L200" s="38"/>
      <c r="M200" s="38"/>
      <c r="N200" s="38"/>
      <c r="O200" s="38"/>
      <c r="P200" s="38"/>
    </row>
    <row r="201" ht="12.75" customHeight="1">
      <c r="A201" s="19"/>
      <c r="B201" s="19"/>
      <c r="C201" s="37"/>
      <c r="D201" s="19"/>
      <c r="E201" s="37"/>
      <c r="F201" s="19"/>
      <c r="G201" s="19"/>
      <c r="H201" s="19"/>
      <c r="I201" s="19"/>
      <c r="L201" s="38"/>
      <c r="M201" s="38"/>
      <c r="N201" s="38"/>
      <c r="O201" s="38"/>
      <c r="P201" s="38"/>
    </row>
    <row r="202" ht="12.75" customHeight="1">
      <c r="A202" s="19"/>
      <c r="B202" s="19"/>
      <c r="C202" s="37"/>
      <c r="D202" s="19"/>
      <c r="E202" s="37"/>
      <c r="F202" s="19"/>
      <c r="G202" s="19"/>
      <c r="H202" s="19"/>
      <c r="I202" s="19"/>
      <c r="L202" s="38"/>
      <c r="M202" s="38"/>
      <c r="N202" s="38"/>
      <c r="O202" s="38"/>
      <c r="P202" s="38"/>
    </row>
    <row r="203" ht="12.75" customHeight="1">
      <c r="A203" s="19"/>
      <c r="B203" s="19"/>
      <c r="C203" s="37"/>
      <c r="D203" s="19"/>
      <c r="E203" s="37"/>
      <c r="F203" s="19"/>
      <c r="G203" s="19"/>
      <c r="H203" s="19"/>
      <c r="I203" s="19"/>
      <c r="L203" s="38"/>
      <c r="M203" s="38"/>
      <c r="N203" s="38"/>
      <c r="O203" s="38"/>
      <c r="P203" s="38"/>
    </row>
    <row r="204" ht="12.75" customHeight="1">
      <c r="A204" s="19"/>
      <c r="B204" s="19"/>
      <c r="C204" s="37"/>
      <c r="D204" s="19"/>
      <c r="E204" s="37"/>
      <c r="F204" s="19"/>
      <c r="G204" s="19"/>
      <c r="H204" s="19"/>
      <c r="I204" s="19"/>
      <c r="L204" s="38"/>
      <c r="M204" s="38"/>
      <c r="N204" s="38"/>
      <c r="O204" s="38"/>
      <c r="P204" s="38"/>
    </row>
    <row r="205" ht="12.75" customHeight="1">
      <c r="A205" s="19"/>
      <c r="B205" s="19"/>
      <c r="C205" s="37"/>
      <c r="D205" s="19"/>
      <c r="E205" s="37"/>
      <c r="F205" s="19"/>
      <c r="G205" s="19"/>
      <c r="H205" s="19"/>
      <c r="I205" s="19"/>
      <c r="L205" s="38"/>
      <c r="M205" s="38"/>
      <c r="N205" s="38"/>
      <c r="O205" s="38"/>
      <c r="P205" s="38"/>
    </row>
    <row r="206" ht="12.75" customHeight="1">
      <c r="A206" s="19"/>
      <c r="B206" s="19"/>
      <c r="C206" s="37"/>
      <c r="D206" s="19"/>
      <c r="E206" s="37"/>
      <c r="F206" s="19"/>
      <c r="G206" s="19"/>
      <c r="H206" s="19"/>
      <c r="I206" s="19"/>
      <c r="L206" s="38"/>
      <c r="M206" s="38"/>
      <c r="N206" s="38"/>
      <c r="O206" s="38"/>
      <c r="P206" s="38"/>
    </row>
    <row r="207" ht="12.75" customHeight="1">
      <c r="A207" s="19"/>
      <c r="B207" s="19"/>
      <c r="C207" s="37"/>
      <c r="D207" s="19"/>
      <c r="E207" s="37"/>
      <c r="F207" s="19"/>
      <c r="G207" s="19"/>
      <c r="H207" s="19"/>
      <c r="I207" s="19"/>
      <c r="L207" s="38"/>
      <c r="M207" s="38"/>
      <c r="N207" s="38"/>
      <c r="O207" s="38"/>
      <c r="P207" s="38"/>
    </row>
    <row r="208" ht="12.75" customHeight="1">
      <c r="A208" s="19"/>
      <c r="B208" s="19"/>
      <c r="C208" s="37"/>
      <c r="D208" s="19"/>
      <c r="E208" s="37"/>
      <c r="F208" s="19"/>
      <c r="G208" s="19"/>
      <c r="H208" s="19"/>
      <c r="I208" s="19"/>
      <c r="L208" s="38"/>
      <c r="M208" s="38"/>
      <c r="N208" s="38"/>
      <c r="O208" s="38"/>
      <c r="P208" s="38"/>
    </row>
    <row r="209" ht="12.75" customHeight="1">
      <c r="A209" s="19"/>
      <c r="B209" s="19"/>
      <c r="C209" s="37"/>
      <c r="D209" s="19"/>
      <c r="E209" s="37"/>
      <c r="F209" s="19"/>
      <c r="G209" s="19"/>
      <c r="H209" s="19"/>
      <c r="I209" s="19"/>
      <c r="L209" s="38"/>
      <c r="M209" s="38"/>
      <c r="N209" s="38"/>
      <c r="O209" s="38"/>
      <c r="P209" s="38"/>
    </row>
    <row r="210" ht="12.75" customHeight="1">
      <c r="A210" s="19"/>
      <c r="B210" s="19"/>
      <c r="C210" s="37"/>
      <c r="D210" s="19"/>
      <c r="E210" s="37"/>
      <c r="F210" s="19"/>
      <c r="G210" s="19"/>
      <c r="H210" s="19"/>
      <c r="I210" s="19"/>
      <c r="L210" s="38"/>
      <c r="M210" s="38"/>
      <c r="N210" s="38"/>
      <c r="O210" s="38"/>
      <c r="P210" s="38"/>
    </row>
    <row r="211" ht="12.75" customHeight="1">
      <c r="A211" s="19"/>
      <c r="B211" s="19"/>
      <c r="C211" s="37"/>
      <c r="D211" s="19"/>
      <c r="E211" s="37"/>
      <c r="F211" s="19"/>
      <c r="G211" s="19"/>
      <c r="H211" s="19"/>
      <c r="I211" s="19"/>
      <c r="L211" s="38"/>
      <c r="M211" s="38"/>
      <c r="N211" s="38"/>
      <c r="O211" s="38"/>
      <c r="P211" s="38"/>
    </row>
    <row r="212" ht="12.75" customHeight="1">
      <c r="A212" s="19"/>
      <c r="B212" s="19"/>
      <c r="C212" s="37"/>
      <c r="D212" s="19"/>
      <c r="E212" s="37"/>
      <c r="F212" s="19"/>
      <c r="G212" s="19"/>
      <c r="H212" s="19"/>
      <c r="I212" s="19"/>
      <c r="L212" s="38"/>
      <c r="M212" s="38"/>
      <c r="N212" s="38"/>
      <c r="O212" s="38"/>
      <c r="P212" s="38"/>
    </row>
    <row r="213" ht="12.75" customHeight="1">
      <c r="A213" s="19"/>
      <c r="B213" s="19"/>
      <c r="C213" s="37"/>
      <c r="D213" s="19"/>
      <c r="E213" s="37"/>
      <c r="F213" s="19"/>
      <c r="G213" s="19"/>
      <c r="H213" s="19"/>
      <c r="I213" s="19"/>
      <c r="L213" s="38"/>
      <c r="M213" s="38"/>
      <c r="N213" s="38"/>
      <c r="O213" s="38"/>
      <c r="P213" s="38"/>
    </row>
    <row r="214" ht="12.75" customHeight="1">
      <c r="A214" s="19"/>
      <c r="B214" s="19"/>
      <c r="C214" s="37"/>
      <c r="D214" s="19"/>
      <c r="E214" s="37"/>
      <c r="F214" s="19"/>
      <c r="G214" s="19"/>
      <c r="H214" s="19"/>
      <c r="I214" s="19"/>
      <c r="L214" s="38"/>
      <c r="M214" s="38"/>
      <c r="N214" s="38"/>
      <c r="O214" s="38"/>
      <c r="P214" s="38"/>
    </row>
    <row r="215" ht="12.75" customHeight="1">
      <c r="A215" s="19"/>
      <c r="B215" s="19"/>
      <c r="C215" s="37"/>
      <c r="D215" s="19"/>
      <c r="E215" s="37"/>
      <c r="F215" s="19"/>
      <c r="G215" s="19"/>
      <c r="H215" s="19"/>
      <c r="I215" s="19"/>
      <c r="L215" s="38"/>
      <c r="M215" s="38"/>
      <c r="N215" s="38"/>
      <c r="O215" s="38"/>
      <c r="P215" s="38"/>
    </row>
    <row r="216" ht="12.75" customHeight="1">
      <c r="A216" s="19"/>
      <c r="B216" s="19"/>
      <c r="C216" s="37"/>
      <c r="D216" s="19"/>
      <c r="E216" s="37"/>
      <c r="F216" s="19"/>
      <c r="G216" s="19"/>
      <c r="H216" s="19"/>
      <c r="I216" s="19"/>
      <c r="L216" s="38"/>
      <c r="M216" s="38"/>
      <c r="N216" s="38"/>
      <c r="O216" s="38"/>
      <c r="P216" s="38"/>
    </row>
    <row r="217" ht="12.75" customHeight="1">
      <c r="A217" s="19"/>
      <c r="B217" s="19"/>
      <c r="C217" s="37"/>
      <c r="D217" s="19"/>
      <c r="E217" s="37"/>
      <c r="F217" s="19"/>
      <c r="G217" s="19"/>
      <c r="H217" s="19"/>
      <c r="I217" s="19"/>
      <c r="L217" s="38"/>
      <c r="M217" s="38"/>
      <c r="N217" s="38"/>
      <c r="O217" s="38"/>
      <c r="P217" s="38"/>
    </row>
    <row r="218" ht="12.75" customHeight="1">
      <c r="A218" s="19"/>
      <c r="B218" s="19"/>
      <c r="C218" s="37"/>
      <c r="D218" s="19"/>
      <c r="E218" s="37"/>
      <c r="F218" s="19"/>
      <c r="G218" s="19"/>
      <c r="H218" s="19"/>
      <c r="I218" s="19"/>
      <c r="L218" s="38"/>
      <c r="M218" s="38"/>
      <c r="N218" s="38"/>
      <c r="O218" s="38"/>
      <c r="P218" s="38"/>
    </row>
    <row r="219" ht="12.75" customHeight="1">
      <c r="A219" s="19"/>
      <c r="B219" s="19"/>
      <c r="C219" s="37"/>
      <c r="D219" s="19"/>
      <c r="E219" s="37"/>
      <c r="F219" s="19"/>
      <c r="G219" s="19"/>
      <c r="H219" s="19"/>
      <c r="I219" s="19"/>
      <c r="L219" s="38"/>
      <c r="M219" s="38"/>
      <c r="N219" s="38"/>
      <c r="O219" s="38"/>
      <c r="P219" s="38"/>
    </row>
    <row r="220" ht="12.75" customHeight="1">
      <c r="A220" s="19"/>
      <c r="B220" s="19"/>
      <c r="C220" s="37"/>
      <c r="D220" s="19"/>
      <c r="E220" s="37"/>
      <c r="F220" s="19"/>
      <c r="G220" s="19"/>
      <c r="H220" s="19"/>
      <c r="I220" s="19"/>
      <c r="L220" s="38"/>
      <c r="M220" s="38"/>
      <c r="N220" s="38"/>
      <c r="O220" s="38"/>
      <c r="P220" s="38"/>
    </row>
    <row r="221" ht="12.75" customHeight="1">
      <c r="A221" s="19"/>
      <c r="B221" s="19"/>
      <c r="C221" s="37"/>
      <c r="D221" s="19"/>
      <c r="E221" s="37"/>
      <c r="F221" s="19"/>
      <c r="G221" s="19"/>
      <c r="H221" s="19"/>
      <c r="I221" s="19"/>
      <c r="L221" s="38"/>
      <c r="M221" s="38"/>
      <c r="N221" s="38"/>
      <c r="O221" s="38"/>
      <c r="P221" s="38"/>
    </row>
    <row r="222" ht="12.75" customHeight="1">
      <c r="A222" s="19"/>
      <c r="B222" s="19"/>
      <c r="C222" s="37"/>
      <c r="D222" s="19"/>
      <c r="E222" s="37"/>
      <c r="F222" s="19"/>
      <c r="G222" s="19"/>
      <c r="H222" s="19"/>
      <c r="I222" s="19"/>
      <c r="L222" s="38"/>
      <c r="M222" s="38"/>
      <c r="N222" s="38"/>
      <c r="O222" s="38"/>
      <c r="P222" s="38"/>
    </row>
    <row r="223" ht="12.75" customHeight="1">
      <c r="A223" s="19"/>
      <c r="B223" s="19"/>
      <c r="C223" s="37"/>
      <c r="D223" s="19"/>
      <c r="E223" s="37"/>
      <c r="F223" s="19"/>
      <c r="G223" s="19"/>
      <c r="H223" s="19"/>
      <c r="I223" s="19"/>
      <c r="L223" s="38"/>
      <c r="M223" s="38"/>
      <c r="N223" s="38"/>
      <c r="O223" s="38"/>
      <c r="P223" s="38"/>
    </row>
    <row r="224" ht="12.75" customHeight="1">
      <c r="A224" s="19"/>
      <c r="B224" s="19"/>
      <c r="C224" s="37"/>
      <c r="D224" s="19"/>
      <c r="E224" s="37"/>
      <c r="F224" s="19"/>
      <c r="G224" s="19"/>
      <c r="H224" s="19"/>
      <c r="I224" s="19"/>
      <c r="L224" s="38"/>
      <c r="M224" s="38"/>
      <c r="N224" s="38"/>
      <c r="O224" s="38"/>
      <c r="P224" s="38"/>
    </row>
    <row r="225" ht="12.75" customHeight="1">
      <c r="A225" s="19"/>
      <c r="B225" s="19"/>
      <c r="C225" s="37"/>
      <c r="D225" s="19"/>
      <c r="E225" s="37"/>
      <c r="F225" s="19"/>
      <c r="G225" s="19"/>
      <c r="H225" s="19"/>
      <c r="I225" s="19"/>
      <c r="L225" s="38"/>
      <c r="M225" s="38"/>
      <c r="N225" s="38"/>
      <c r="O225" s="38"/>
      <c r="P225" s="38"/>
    </row>
    <row r="226" ht="12.75" customHeight="1">
      <c r="A226" s="19"/>
      <c r="B226" s="19"/>
      <c r="C226" s="37"/>
      <c r="D226" s="19"/>
      <c r="E226" s="37"/>
      <c r="F226" s="19"/>
      <c r="G226" s="19"/>
      <c r="H226" s="19"/>
      <c r="I226" s="19"/>
      <c r="L226" s="38"/>
      <c r="M226" s="38"/>
      <c r="N226" s="38"/>
      <c r="O226" s="38"/>
      <c r="P226" s="38"/>
    </row>
    <row r="227" ht="12.75" customHeight="1">
      <c r="A227" s="19"/>
      <c r="B227" s="19"/>
      <c r="C227" s="37"/>
      <c r="D227" s="19"/>
      <c r="E227" s="37"/>
      <c r="F227" s="19"/>
      <c r="G227" s="19"/>
      <c r="H227" s="19"/>
      <c r="I227" s="19"/>
      <c r="L227" s="38"/>
      <c r="M227" s="38"/>
      <c r="N227" s="38"/>
      <c r="O227" s="38"/>
      <c r="P227" s="38"/>
    </row>
    <row r="228" ht="12.75" customHeight="1">
      <c r="A228" s="19"/>
      <c r="B228" s="19"/>
      <c r="C228" s="37"/>
      <c r="D228" s="19"/>
      <c r="E228" s="37"/>
      <c r="F228" s="19"/>
      <c r="G228" s="19"/>
      <c r="H228" s="19"/>
      <c r="I228" s="19"/>
      <c r="L228" s="38"/>
      <c r="M228" s="38"/>
      <c r="N228" s="38"/>
      <c r="O228" s="38"/>
      <c r="P228" s="38"/>
    </row>
    <row r="229" ht="12.75" customHeight="1">
      <c r="A229" s="19"/>
      <c r="B229" s="19"/>
      <c r="C229" s="37"/>
      <c r="D229" s="19"/>
      <c r="E229" s="37"/>
      <c r="F229" s="19"/>
      <c r="G229" s="19"/>
      <c r="H229" s="19"/>
      <c r="I229" s="19"/>
      <c r="L229" s="38"/>
      <c r="M229" s="38"/>
      <c r="N229" s="38"/>
      <c r="O229" s="38"/>
      <c r="P229" s="38"/>
    </row>
    <row r="230" ht="12.75" customHeight="1">
      <c r="A230" s="19"/>
      <c r="B230" s="19"/>
      <c r="C230" s="37"/>
      <c r="D230" s="19"/>
      <c r="E230" s="37"/>
      <c r="F230" s="19"/>
      <c r="G230" s="19"/>
      <c r="H230" s="19"/>
      <c r="I230" s="19"/>
      <c r="L230" s="38"/>
      <c r="M230" s="38"/>
      <c r="N230" s="38"/>
      <c r="O230" s="38"/>
      <c r="P230" s="38"/>
    </row>
    <row r="231" ht="12.75" customHeight="1">
      <c r="A231" s="19"/>
      <c r="B231" s="19"/>
      <c r="C231" s="37"/>
      <c r="D231" s="19"/>
      <c r="E231" s="37"/>
      <c r="F231" s="19"/>
      <c r="G231" s="19"/>
      <c r="H231" s="19"/>
      <c r="I231" s="19"/>
      <c r="L231" s="38"/>
      <c r="M231" s="38"/>
      <c r="N231" s="38"/>
      <c r="O231" s="38"/>
      <c r="P231" s="38"/>
    </row>
    <row r="232" ht="12.75" customHeight="1">
      <c r="A232" s="19"/>
      <c r="B232" s="19"/>
      <c r="C232" s="37"/>
      <c r="D232" s="19"/>
      <c r="E232" s="37"/>
      <c r="F232" s="19"/>
      <c r="G232" s="19"/>
      <c r="H232" s="19"/>
      <c r="I232" s="19"/>
      <c r="L232" s="38"/>
      <c r="M232" s="38"/>
      <c r="N232" s="38"/>
      <c r="O232" s="38"/>
      <c r="P232" s="38"/>
    </row>
    <row r="233" ht="12.75" customHeight="1">
      <c r="A233" s="19"/>
      <c r="B233" s="19"/>
      <c r="C233" s="37"/>
      <c r="D233" s="19"/>
      <c r="E233" s="37"/>
      <c r="F233" s="19"/>
      <c r="G233" s="19"/>
      <c r="H233" s="19"/>
      <c r="I233" s="19"/>
      <c r="L233" s="38"/>
      <c r="M233" s="38"/>
      <c r="N233" s="38"/>
      <c r="O233" s="38"/>
      <c r="P233" s="38"/>
    </row>
    <row r="234" ht="12.75" customHeight="1">
      <c r="A234" s="19"/>
      <c r="B234" s="19"/>
      <c r="C234" s="37"/>
      <c r="D234" s="19"/>
      <c r="E234" s="37"/>
      <c r="F234" s="19"/>
      <c r="G234" s="19"/>
      <c r="H234" s="19"/>
      <c r="I234" s="19"/>
      <c r="L234" s="38"/>
      <c r="M234" s="38"/>
      <c r="N234" s="38"/>
      <c r="O234" s="38"/>
      <c r="P234" s="38"/>
    </row>
    <row r="235" ht="12.75" customHeight="1">
      <c r="A235" s="19"/>
      <c r="B235" s="19"/>
      <c r="C235" s="37"/>
      <c r="D235" s="19"/>
      <c r="E235" s="37"/>
      <c r="F235" s="19"/>
      <c r="G235" s="19"/>
      <c r="H235" s="19"/>
      <c r="I235" s="19"/>
      <c r="L235" s="38"/>
      <c r="M235" s="38"/>
      <c r="N235" s="38"/>
      <c r="O235" s="38"/>
      <c r="P235" s="38"/>
    </row>
    <row r="236" ht="12.75" customHeight="1">
      <c r="A236" s="19"/>
      <c r="B236" s="19"/>
      <c r="C236" s="37"/>
      <c r="D236" s="19"/>
      <c r="E236" s="37"/>
      <c r="F236" s="19"/>
      <c r="G236" s="19"/>
      <c r="H236" s="19"/>
      <c r="I236" s="19"/>
      <c r="L236" s="38"/>
      <c r="M236" s="38"/>
      <c r="N236" s="38"/>
      <c r="O236" s="38"/>
      <c r="P236" s="38"/>
    </row>
    <row r="237" ht="12.75" customHeight="1">
      <c r="A237" s="19"/>
      <c r="B237" s="19"/>
      <c r="C237" s="37"/>
      <c r="D237" s="19"/>
      <c r="E237" s="37"/>
      <c r="F237" s="19"/>
      <c r="G237" s="19"/>
      <c r="H237" s="19"/>
      <c r="I237" s="19"/>
      <c r="L237" s="38"/>
      <c r="M237" s="38"/>
      <c r="N237" s="38"/>
      <c r="O237" s="38"/>
      <c r="P237" s="38"/>
    </row>
    <row r="238" ht="12.75" customHeight="1">
      <c r="A238" s="19"/>
      <c r="B238" s="19"/>
      <c r="C238" s="37"/>
      <c r="D238" s="19"/>
      <c r="E238" s="37"/>
      <c r="F238" s="19"/>
      <c r="G238" s="19"/>
      <c r="H238" s="19"/>
      <c r="I238" s="19"/>
      <c r="L238" s="38"/>
      <c r="M238" s="38"/>
      <c r="N238" s="38"/>
      <c r="O238" s="38"/>
      <c r="P238" s="38"/>
    </row>
    <row r="239" ht="12.75" customHeight="1">
      <c r="A239" s="19"/>
      <c r="B239" s="19"/>
      <c r="C239" s="37"/>
      <c r="D239" s="19"/>
      <c r="E239" s="37"/>
      <c r="F239" s="19"/>
      <c r="G239" s="19"/>
      <c r="H239" s="19"/>
      <c r="I239" s="19"/>
      <c r="L239" s="38"/>
      <c r="M239" s="38"/>
      <c r="N239" s="38"/>
      <c r="O239" s="38"/>
      <c r="P239" s="38"/>
    </row>
    <row r="240" ht="12.75" customHeight="1">
      <c r="A240" s="19"/>
      <c r="B240" s="19"/>
      <c r="C240" s="37"/>
      <c r="D240" s="19"/>
      <c r="E240" s="37"/>
      <c r="F240" s="19"/>
      <c r="G240" s="19"/>
      <c r="H240" s="19"/>
      <c r="I240" s="19"/>
      <c r="L240" s="38"/>
      <c r="M240" s="38"/>
      <c r="N240" s="38"/>
      <c r="O240" s="38"/>
      <c r="P240" s="38"/>
    </row>
    <row r="241" ht="12.75" customHeight="1">
      <c r="A241" s="19"/>
      <c r="B241" s="19"/>
      <c r="C241" s="37"/>
      <c r="D241" s="19"/>
      <c r="E241" s="37"/>
      <c r="F241" s="19"/>
      <c r="G241" s="19"/>
      <c r="H241" s="19"/>
      <c r="I241" s="19"/>
      <c r="L241" s="38"/>
      <c r="M241" s="38"/>
      <c r="N241" s="38"/>
      <c r="O241" s="38"/>
      <c r="P241" s="38"/>
    </row>
    <row r="242" ht="12.75" customHeight="1">
      <c r="A242" s="19"/>
      <c r="B242" s="19"/>
      <c r="C242" s="37"/>
      <c r="D242" s="19"/>
      <c r="E242" s="37"/>
      <c r="F242" s="19"/>
      <c r="G242" s="19"/>
      <c r="H242" s="19"/>
      <c r="I242" s="19"/>
      <c r="L242" s="38"/>
      <c r="M242" s="38"/>
      <c r="N242" s="38"/>
      <c r="O242" s="38"/>
      <c r="P242" s="38"/>
    </row>
    <row r="243" ht="12.75" customHeight="1">
      <c r="A243" s="19"/>
      <c r="B243" s="19"/>
      <c r="C243" s="37"/>
      <c r="D243" s="19"/>
      <c r="E243" s="37"/>
      <c r="F243" s="19"/>
      <c r="G243" s="19"/>
      <c r="H243" s="19"/>
      <c r="I243" s="19"/>
      <c r="L243" s="38"/>
      <c r="M243" s="38"/>
      <c r="N243" s="38"/>
      <c r="O243" s="38"/>
      <c r="P243" s="38"/>
    </row>
    <row r="244" ht="12.75" customHeight="1">
      <c r="A244" s="19"/>
      <c r="B244" s="19"/>
      <c r="C244" s="37"/>
      <c r="D244" s="19"/>
      <c r="E244" s="37"/>
      <c r="F244" s="19"/>
      <c r="G244" s="19"/>
      <c r="H244" s="19"/>
      <c r="I244" s="19"/>
      <c r="L244" s="38"/>
      <c r="M244" s="38"/>
      <c r="N244" s="38"/>
      <c r="O244" s="38"/>
      <c r="P244" s="38"/>
    </row>
    <row r="245" ht="12.75" customHeight="1">
      <c r="A245" s="19"/>
      <c r="B245" s="19"/>
      <c r="C245" s="37"/>
      <c r="D245" s="19"/>
      <c r="E245" s="37"/>
      <c r="F245" s="19"/>
      <c r="G245" s="19"/>
      <c r="H245" s="19"/>
      <c r="I245" s="19"/>
      <c r="L245" s="38"/>
      <c r="M245" s="38"/>
      <c r="N245" s="38"/>
      <c r="O245" s="38"/>
      <c r="P245" s="38"/>
    </row>
    <row r="246" ht="12.75" customHeight="1">
      <c r="A246" s="19"/>
      <c r="B246" s="19"/>
      <c r="C246" s="37"/>
      <c r="D246" s="19"/>
      <c r="E246" s="37"/>
      <c r="F246" s="19"/>
      <c r="G246" s="19"/>
      <c r="H246" s="19"/>
      <c r="I246" s="19"/>
      <c r="L246" s="38"/>
      <c r="M246" s="38"/>
      <c r="N246" s="38"/>
      <c r="O246" s="38"/>
      <c r="P246" s="38"/>
    </row>
    <row r="247" ht="12.75" customHeight="1">
      <c r="A247" s="19"/>
      <c r="B247" s="19"/>
      <c r="C247" s="37"/>
      <c r="D247" s="19"/>
      <c r="E247" s="37"/>
      <c r="F247" s="19"/>
      <c r="G247" s="19"/>
      <c r="H247" s="19"/>
      <c r="I247" s="19"/>
      <c r="L247" s="38"/>
      <c r="M247" s="38"/>
      <c r="N247" s="38"/>
      <c r="O247" s="38"/>
      <c r="P247" s="38"/>
    </row>
    <row r="248" ht="12.75" customHeight="1">
      <c r="A248" s="19"/>
      <c r="B248" s="19"/>
      <c r="C248" s="37"/>
      <c r="D248" s="19"/>
      <c r="E248" s="37"/>
      <c r="F248" s="19"/>
      <c r="G248" s="19"/>
      <c r="H248" s="19"/>
      <c r="I248" s="19"/>
      <c r="L248" s="38"/>
      <c r="M248" s="38"/>
      <c r="N248" s="38"/>
      <c r="O248" s="38"/>
      <c r="P248" s="38"/>
    </row>
    <row r="249" ht="12.75" customHeight="1">
      <c r="A249" s="19"/>
      <c r="B249" s="19"/>
      <c r="C249" s="37"/>
      <c r="D249" s="19"/>
      <c r="E249" s="37"/>
      <c r="F249" s="19"/>
      <c r="G249" s="19"/>
      <c r="H249" s="19"/>
      <c r="I249" s="19"/>
      <c r="L249" s="38"/>
      <c r="M249" s="38"/>
      <c r="N249" s="38"/>
      <c r="O249" s="38"/>
      <c r="P249" s="38"/>
    </row>
    <row r="250" ht="12.75" customHeight="1">
      <c r="A250" s="19"/>
      <c r="B250" s="19"/>
      <c r="C250" s="37"/>
      <c r="D250" s="19"/>
      <c r="E250" s="37"/>
      <c r="F250" s="19"/>
      <c r="G250" s="19"/>
      <c r="H250" s="19"/>
      <c r="I250" s="19"/>
      <c r="L250" s="38"/>
      <c r="M250" s="38"/>
      <c r="N250" s="38"/>
      <c r="O250" s="38"/>
      <c r="P250" s="38"/>
    </row>
    <row r="251" ht="12.75" customHeight="1">
      <c r="A251" s="19"/>
      <c r="B251" s="19"/>
      <c r="C251" s="37"/>
      <c r="D251" s="19"/>
      <c r="E251" s="37"/>
      <c r="F251" s="19"/>
      <c r="G251" s="19"/>
      <c r="H251" s="19"/>
      <c r="I251" s="19"/>
      <c r="L251" s="38"/>
      <c r="M251" s="38"/>
      <c r="N251" s="38"/>
      <c r="O251" s="38"/>
      <c r="P251" s="38"/>
    </row>
    <row r="252" ht="12.75" customHeight="1">
      <c r="A252" s="19"/>
      <c r="B252" s="19"/>
      <c r="C252" s="37"/>
      <c r="D252" s="19"/>
      <c r="E252" s="37"/>
      <c r="F252" s="19"/>
      <c r="G252" s="19"/>
      <c r="H252" s="19"/>
      <c r="I252" s="19"/>
      <c r="L252" s="38"/>
      <c r="M252" s="38"/>
      <c r="N252" s="38"/>
      <c r="O252" s="38"/>
      <c r="P252" s="38"/>
    </row>
    <row r="253" ht="12.75" customHeight="1">
      <c r="A253" s="19"/>
      <c r="B253" s="19"/>
      <c r="C253" s="37"/>
      <c r="D253" s="19"/>
      <c r="E253" s="37"/>
      <c r="F253" s="19"/>
      <c r="G253" s="19"/>
      <c r="H253" s="19"/>
      <c r="I253" s="19"/>
      <c r="L253" s="38"/>
      <c r="M253" s="38"/>
      <c r="N253" s="38"/>
      <c r="O253" s="38"/>
      <c r="P253" s="38"/>
    </row>
    <row r="254" ht="12.75" customHeight="1">
      <c r="A254" s="19"/>
      <c r="B254" s="19"/>
      <c r="C254" s="37"/>
      <c r="D254" s="19"/>
      <c r="E254" s="37"/>
      <c r="F254" s="19"/>
      <c r="G254" s="19"/>
      <c r="H254" s="19"/>
      <c r="I254" s="19"/>
      <c r="L254" s="38"/>
      <c r="M254" s="38"/>
      <c r="N254" s="38"/>
      <c r="O254" s="38"/>
      <c r="P254" s="38"/>
    </row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B1:P1"/>
    <mergeCell ref="R1:R3"/>
    <mergeCell ref="G2:I2"/>
    <mergeCell ref="R4:R5"/>
  </mergeCells>
  <dataValidations>
    <dataValidation type="decimal" operator="greaterThan" allowBlank="1" showErrorMessage="1" sqref="F4:I55">
      <formula1>-1.0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64.0"/>
    <col customWidth="1" min="2" max="2" width="14.86"/>
    <col customWidth="1" min="3" max="3" width="11.57"/>
    <col customWidth="1" min="4" max="4" width="11.14"/>
    <col customWidth="1" min="5" max="5" width="13.57"/>
    <col customWidth="1" min="6" max="6" width="12.0"/>
    <col customWidth="1" min="7" max="7" width="13.14"/>
    <col customWidth="1" min="8" max="8" width="5.0"/>
    <col customWidth="1" min="9" max="10" width="16.29"/>
    <col customWidth="1" min="11" max="12" width="6.0"/>
    <col customWidth="1" min="13" max="13" width="23.0"/>
    <col customWidth="1" min="14" max="28" width="9.86"/>
  </cols>
  <sheetData>
    <row r="1" ht="12.75" customHeight="1">
      <c r="A1" s="40" t="s">
        <v>71</v>
      </c>
      <c r="B1" s="11"/>
      <c r="C1" s="11"/>
      <c r="D1" s="11"/>
      <c r="E1" s="11"/>
      <c r="F1" s="11"/>
      <c r="G1" s="11"/>
      <c r="H1" s="11"/>
      <c r="I1" s="11"/>
      <c r="J1" s="12"/>
      <c r="M1" s="41" t="s">
        <v>1</v>
      </c>
    </row>
    <row r="2">
      <c r="A2" s="42" t="s">
        <v>72</v>
      </c>
      <c r="B2" s="42" t="s">
        <v>3</v>
      </c>
      <c r="C2" s="43" t="s">
        <v>73</v>
      </c>
      <c r="D2" s="42" t="s">
        <v>74</v>
      </c>
      <c r="E2" s="43" t="s">
        <v>75</v>
      </c>
      <c r="F2" s="42" t="s">
        <v>76</v>
      </c>
      <c r="G2" s="42" t="s">
        <v>77</v>
      </c>
      <c r="H2" s="42" t="s">
        <v>78</v>
      </c>
      <c r="I2" s="44" t="s">
        <v>79</v>
      </c>
      <c r="J2" s="45" t="s">
        <v>80</v>
      </c>
      <c r="M2" s="14"/>
    </row>
    <row r="3" ht="12.75" customHeight="1">
      <c r="A3" s="42"/>
      <c r="B3" s="42"/>
      <c r="C3" s="43"/>
      <c r="D3" s="42"/>
      <c r="E3" s="43"/>
      <c r="F3" s="42"/>
      <c r="G3" s="46" t="s">
        <v>81</v>
      </c>
      <c r="H3" s="46"/>
      <c r="I3" s="47" t="s">
        <v>19</v>
      </c>
      <c r="J3" s="47" t="s">
        <v>19</v>
      </c>
      <c r="K3" s="19"/>
      <c r="L3" s="19"/>
      <c r="M3" s="20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ht="12.75" customHeight="1">
      <c r="A4" s="21" t="s">
        <v>42</v>
      </c>
      <c r="B4" s="21">
        <v>6.009888657591E12</v>
      </c>
      <c r="C4" s="48">
        <f t="shared" ref="C4:C25" si="1">SUM(D4/1.15)</f>
        <v>827.826087</v>
      </c>
      <c r="D4" s="48">
        <v>952.0</v>
      </c>
      <c r="E4" s="48">
        <f t="shared" ref="E4:E25" si="2">SUM(F4/1.15)</f>
        <v>1304.347826</v>
      </c>
      <c r="F4" s="48">
        <v>1500.0</v>
      </c>
      <c r="G4" s="48"/>
      <c r="H4" s="49">
        <f t="shared" ref="H4:H25" si="3">SUM(E4-C4)/E4</f>
        <v>0.3653333333</v>
      </c>
      <c r="I4" s="50">
        <v>0.0</v>
      </c>
      <c r="J4" s="48">
        <f t="shared" ref="J4:J25" si="4">L4-K4</f>
        <v>0</v>
      </c>
      <c r="K4" s="51">
        <f t="shared" ref="K4:K25" si="5">G4*I4</f>
        <v>0</v>
      </c>
      <c r="L4" s="51">
        <f t="shared" ref="L4:L25" si="6">F4*I4</f>
        <v>0</v>
      </c>
      <c r="M4" s="52">
        <f>Takealot!R4</f>
        <v>44725</v>
      </c>
    </row>
    <row r="5" ht="12.75" customHeight="1">
      <c r="A5" s="28" t="s">
        <v>43</v>
      </c>
      <c r="B5" s="28">
        <v>6.009888657607E12</v>
      </c>
      <c r="C5" s="53">
        <f t="shared" si="1"/>
        <v>133.8434783</v>
      </c>
      <c r="D5" s="53">
        <v>153.92</v>
      </c>
      <c r="E5" s="53">
        <f t="shared" si="2"/>
        <v>217.3913043</v>
      </c>
      <c r="F5" s="53">
        <v>250.0</v>
      </c>
      <c r="G5" s="53">
        <f>32.61*1.15</f>
        <v>37.5015</v>
      </c>
      <c r="H5" s="54">
        <f t="shared" si="3"/>
        <v>0.38432</v>
      </c>
      <c r="I5" s="55">
        <v>2.0</v>
      </c>
      <c r="J5" s="53">
        <f t="shared" si="4"/>
        <v>424.997</v>
      </c>
      <c r="K5" s="51">
        <f t="shared" si="5"/>
        <v>75.003</v>
      </c>
      <c r="L5" s="51">
        <f t="shared" si="6"/>
        <v>500</v>
      </c>
      <c r="M5" s="20"/>
    </row>
    <row r="6" ht="12.75" customHeight="1">
      <c r="A6" s="21" t="s">
        <v>44</v>
      </c>
      <c r="B6" s="21">
        <v>6.009888657614E12</v>
      </c>
      <c r="C6" s="48">
        <f t="shared" si="1"/>
        <v>131.973913</v>
      </c>
      <c r="D6" s="48">
        <v>151.77</v>
      </c>
      <c r="E6" s="48">
        <f t="shared" si="2"/>
        <v>269.5652174</v>
      </c>
      <c r="F6" s="48">
        <v>310.0</v>
      </c>
      <c r="G6" s="48"/>
      <c r="H6" s="49">
        <f t="shared" si="3"/>
        <v>0.5104193548</v>
      </c>
      <c r="I6" s="50">
        <v>0.0</v>
      </c>
      <c r="J6" s="48">
        <f t="shared" si="4"/>
        <v>0</v>
      </c>
      <c r="K6" s="51">
        <f t="shared" si="5"/>
        <v>0</v>
      </c>
      <c r="L6" s="51">
        <f t="shared" si="6"/>
        <v>0</v>
      </c>
      <c r="O6" s="56"/>
    </row>
    <row r="7" ht="12.75" customHeight="1">
      <c r="A7" s="28" t="s">
        <v>45</v>
      </c>
      <c r="B7" s="28">
        <v>6.009888657621E12</v>
      </c>
      <c r="C7" s="53">
        <f t="shared" si="1"/>
        <v>164.7043478</v>
      </c>
      <c r="D7" s="53">
        <v>189.41</v>
      </c>
      <c r="E7" s="53">
        <f t="shared" si="2"/>
        <v>295.6521739</v>
      </c>
      <c r="F7" s="53">
        <v>340.0</v>
      </c>
      <c r="G7" s="53"/>
      <c r="H7" s="54">
        <f t="shared" si="3"/>
        <v>0.4429117647</v>
      </c>
      <c r="I7" s="57">
        <v>0.0</v>
      </c>
      <c r="J7" s="53">
        <f t="shared" si="4"/>
        <v>0</v>
      </c>
      <c r="K7" s="51">
        <f t="shared" si="5"/>
        <v>0</v>
      </c>
      <c r="L7" s="51">
        <f t="shared" si="6"/>
        <v>0</v>
      </c>
    </row>
    <row r="8" ht="12.75" customHeight="1">
      <c r="A8" s="21" t="s">
        <v>46</v>
      </c>
      <c r="B8" s="21">
        <v>6.009888657669E12</v>
      </c>
      <c r="C8" s="48">
        <f t="shared" si="1"/>
        <v>175.0173913</v>
      </c>
      <c r="D8" s="48">
        <v>201.27</v>
      </c>
      <c r="E8" s="48">
        <f t="shared" si="2"/>
        <v>286.9565217</v>
      </c>
      <c r="F8" s="48">
        <v>330.0</v>
      </c>
      <c r="G8" s="48"/>
      <c r="H8" s="49">
        <f t="shared" si="3"/>
        <v>0.3900909091</v>
      </c>
      <c r="I8" s="50">
        <v>0.0</v>
      </c>
      <c r="J8" s="48">
        <f t="shared" si="4"/>
        <v>0</v>
      </c>
      <c r="K8" s="51">
        <f t="shared" si="5"/>
        <v>0</v>
      </c>
      <c r="L8" s="51">
        <f t="shared" si="6"/>
        <v>0</v>
      </c>
      <c r="M8" s="58"/>
    </row>
    <row r="9" ht="12.75" customHeight="1">
      <c r="A9" s="28" t="s">
        <v>47</v>
      </c>
      <c r="B9" s="28">
        <v>6.009888657676E12</v>
      </c>
      <c r="C9" s="53">
        <f t="shared" si="1"/>
        <v>212.1217391</v>
      </c>
      <c r="D9" s="53">
        <v>243.94</v>
      </c>
      <c r="E9" s="53">
        <f t="shared" si="2"/>
        <v>347.826087</v>
      </c>
      <c r="F9" s="53">
        <v>400.0</v>
      </c>
      <c r="G9" s="53"/>
      <c r="H9" s="54">
        <f t="shared" si="3"/>
        <v>0.39015</v>
      </c>
      <c r="I9" s="57">
        <v>0.0</v>
      </c>
      <c r="J9" s="53">
        <f t="shared" si="4"/>
        <v>0</v>
      </c>
      <c r="K9" s="51">
        <f t="shared" si="5"/>
        <v>0</v>
      </c>
      <c r="L9" s="51">
        <f t="shared" si="6"/>
        <v>0</v>
      </c>
    </row>
    <row r="10" ht="12.75" customHeight="1">
      <c r="A10" s="21" t="s">
        <v>48</v>
      </c>
      <c r="B10" s="21">
        <v>6.009888657683E12</v>
      </c>
      <c r="C10" s="48">
        <f t="shared" si="1"/>
        <v>199.7826087</v>
      </c>
      <c r="D10" s="48">
        <v>229.75</v>
      </c>
      <c r="E10" s="48">
        <f t="shared" si="2"/>
        <v>347.826087</v>
      </c>
      <c r="F10" s="48">
        <v>400.0</v>
      </c>
      <c r="G10" s="48">
        <f>52.18*1.15</f>
        <v>60.007</v>
      </c>
      <c r="H10" s="49">
        <f t="shared" si="3"/>
        <v>0.425625</v>
      </c>
      <c r="I10" s="59">
        <v>2.0</v>
      </c>
      <c r="J10" s="48">
        <f t="shared" si="4"/>
        <v>679.986</v>
      </c>
      <c r="K10" s="51">
        <f t="shared" si="5"/>
        <v>120.014</v>
      </c>
      <c r="L10" s="51">
        <f t="shared" si="6"/>
        <v>800</v>
      </c>
    </row>
    <row r="11" ht="12.75" customHeight="1">
      <c r="A11" s="28" t="s">
        <v>49</v>
      </c>
      <c r="B11" s="28">
        <v>6.00988865769E12</v>
      </c>
      <c r="C11" s="53">
        <f t="shared" si="1"/>
        <v>1064.043478</v>
      </c>
      <c r="D11" s="53">
        <v>1223.65</v>
      </c>
      <c r="E11" s="53">
        <f t="shared" si="2"/>
        <v>1652.173913</v>
      </c>
      <c r="F11" s="53">
        <v>1900.0</v>
      </c>
      <c r="G11" s="53"/>
      <c r="H11" s="54">
        <f t="shared" si="3"/>
        <v>0.3559736842</v>
      </c>
      <c r="I11" s="57">
        <v>0.0</v>
      </c>
      <c r="J11" s="53">
        <f t="shared" si="4"/>
        <v>0</v>
      </c>
      <c r="K11" s="51">
        <f t="shared" si="5"/>
        <v>0</v>
      </c>
      <c r="L11" s="51">
        <f t="shared" si="6"/>
        <v>0</v>
      </c>
    </row>
    <row r="12" ht="12.75" customHeight="1">
      <c r="A12" s="21" t="s">
        <v>50</v>
      </c>
      <c r="B12" s="21">
        <v>6.009888657706E12</v>
      </c>
      <c r="C12" s="48">
        <f t="shared" si="1"/>
        <v>174.2</v>
      </c>
      <c r="D12" s="48">
        <v>200.33</v>
      </c>
      <c r="E12" s="48">
        <f t="shared" si="2"/>
        <v>313.0434783</v>
      </c>
      <c r="F12" s="48">
        <v>360.0</v>
      </c>
      <c r="G12" s="48"/>
      <c r="H12" s="49">
        <f t="shared" si="3"/>
        <v>0.4435277778</v>
      </c>
      <c r="I12" s="50">
        <v>0.0</v>
      </c>
      <c r="J12" s="48">
        <f t="shared" si="4"/>
        <v>0</v>
      </c>
      <c r="K12" s="51">
        <f t="shared" si="5"/>
        <v>0</v>
      </c>
      <c r="L12" s="51">
        <f t="shared" si="6"/>
        <v>0</v>
      </c>
    </row>
    <row r="13" ht="12.75" customHeight="1">
      <c r="A13" s="28" t="s">
        <v>51</v>
      </c>
      <c r="B13" s="28">
        <v>6.009888657713E12</v>
      </c>
      <c r="C13" s="53">
        <f t="shared" si="1"/>
        <v>55.73043478</v>
      </c>
      <c r="D13" s="53">
        <v>64.09</v>
      </c>
      <c r="E13" s="53">
        <f t="shared" si="2"/>
        <v>95.65217391</v>
      </c>
      <c r="F13" s="53">
        <v>110.0</v>
      </c>
      <c r="G13" s="60">
        <v>16.5</v>
      </c>
      <c r="H13" s="54">
        <f t="shared" si="3"/>
        <v>0.4173636364</v>
      </c>
      <c r="I13" s="55">
        <v>5.0</v>
      </c>
      <c r="J13" s="53">
        <f t="shared" si="4"/>
        <v>467.5</v>
      </c>
      <c r="K13" s="51">
        <f t="shared" si="5"/>
        <v>82.5</v>
      </c>
      <c r="L13" s="51">
        <f t="shared" si="6"/>
        <v>550</v>
      </c>
    </row>
    <row r="14" ht="12.75" customHeight="1">
      <c r="A14" s="21" t="s">
        <v>52</v>
      </c>
      <c r="B14" s="21">
        <v>6.00988865772E12</v>
      </c>
      <c r="C14" s="48">
        <f t="shared" si="1"/>
        <v>73.45217391</v>
      </c>
      <c r="D14" s="48">
        <v>84.47</v>
      </c>
      <c r="E14" s="48">
        <f t="shared" si="2"/>
        <v>139.1304348</v>
      </c>
      <c r="F14" s="48">
        <v>160.0</v>
      </c>
      <c r="G14" s="48"/>
      <c r="H14" s="49">
        <f t="shared" si="3"/>
        <v>0.4720625</v>
      </c>
      <c r="I14" s="50">
        <v>0.0</v>
      </c>
      <c r="J14" s="48">
        <f t="shared" si="4"/>
        <v>0</v>
      </c>
      <c r="K14" s="51">
        <f t="shared" si="5"/>
        <v>0</v>
      </c>
      <c r="L14" s="51">
        <f t="shared" si="6"/>
        <v>0</v>
      </c>
    </row>
    <row r="15" ht="12.75" customHeight="1">
      <c r="A15" s="28" t="s">
        <v>53</v>
      </c>
      <c r="B15" s="28">
        <v>6.009888657744E12</v>
      </c>
      <c r="C15" s="53">
        <f t="shared" si="1"/>
        <v>111.0782609</v>
      </c>
      <c r="D15" s="53">
        <v>127.74</v>
      </c>
      <c r="E15" s="53">
        <f t="shared" si="2"/>
        <v>191.3043478</v>
      </c>
      <c r="F15" s="53">
        <v>220.0</v>
      </c>
      <c r="G15" s="53">
        <f>28.7*1.15</f>
        <v>33.005</v>
      </c>
      <c r="H15" s="54">
        <f t="shared" si="3"/>
        <v>0.4193636364</v>
      </c>
      <c r="I15" s="55">
        <v>7.0</v>
      </c>
      <c r="J15" s="53">
        <f t="shared" si="4"/>
        <v>1308.965</v>
      </c>
      <c r="K15" s="51">
        <f t="shared" si="5"/>
        <v>231.035</v>
      </c>
      <c r="L15" s="51">
        <f t="shared" si="6"/>
        <v>1540</v>
      </c>
    </row>
    <row r="16" ht="12.75" customHeight="1">
      <c r="A16" s="21" t="s">
        <v>54</v>
      </c>
      <c r="B16" s="21">
        <v>6.009888657737E12</v>
      </c>
      <c r="C16" s="48">
        <f t="shared" si="1"/>
        <v>87.3826087</v>
      </c>
      <c r="D16" s="48">
        <v>100.49</v>
      </c>
      <c r="E16" s="48">
        <f t="shared" si="2"/>
        <v>147.826087</v>
      </c>
      <c r="F16" s="48">
        <v>170.0</v>
      </c>
      <c r="G16" s="48">
        <f>22.18*1.15</f>
        <v>25.507</v>
      </c>
      <c r="H16" s="49">
        <f t="shared" si="3"/>
        <v>0.4088823529</v>
      </c>
      <c r="I16" s="59">
        <v>2.0</v>
      </c>
      <c r="J16" s="48">
        <f t="shared" si="4"/>
        <v>288.986</v>
      </c>
      <c r="K16" s="51">
        <f t="shared" si="5"/>
        <v>51.014</v>
      </c>
      <c r="L16" s="51">
        <f t="shared" si="6"/>
        <v>340</v>
      </c>
    </row>
    <row r="17" ht="12.75" customHeight="1">
      <c r="A17" s="28" t="s">
        <v>55</v>
      </c>
      <c r="B17" s="28">
        <v>6.009888657751E12</v>
      </c>
      <c r="C17" s="53">
        <f t="shared" si="1"/>
        <v>1759.643478</v>
      </c>
      <c r="D17" s="53">
        <v>2023.59</v>
      </c>
      <c r="E17" s="53">
        <f t="shared" si="2"/>
        <v>2608.695652</v>
      </c>
      <c r="F17" s="53">
        <v>3000.0</v>
      </c>
      <c r="G17" s="53"/>
      <c r="H17" s="54">
        <f t="shared" si="3"/>
        <v>0.32547</v>
      </c>
      <c r="I17" s="57">
        <v>0.0</v>
      </c>
      <c r="J17" s="53">
        <f t="shared" si="4"/>
        <v>0</v>
      </c>
      <c r="K17" s="51">
        <f t="shared" si="5"/>
        <v>0</v>
      </c>
      <c r="L17" s="51">
        <f t="shared" si="6"/>
        <v>0</v>
      </c>
    </row>
    <row r="18" ht="12.75" customHeight="1">
      <c r="A18" s="21" t="s">
        <v>56</v>
      </c>
      <c r="B18" s="21">
        <v>6.009888657768E12</v>
      </c>
      <c r="C18" s="48">
        <f t="shared" si="1"/>
        <v>209.5826087</v>
      </c>
      <c r="D18" s="48">
        <v>241.02</v>
      </c>
      <c r="E18" s="48">
        <f t="shared" si="2"/>
        <v>347.826087</v>
      </c>
      <c r="F18" s="48">
        <v>400.0</v>
      </c>
      <c r="G18" s="48">
        <f>52.18*1.15</f>
        <v>60.007</v>
      </c>
      <c r="H18" s="49">
        <f t="shared" si="3"/>
        <v>0.39745</v>
      </c>
      <c r="I18" s="59">
        <v>6.0</v>
      </c>
      <c r="J18" s="48">
        <f t="shared" si="4"/>
        <v>2039.958</v>
      </c>
      <c r="K18" s="51">
        <f t="shared" si="5"/>
        <v>360.042</v>
      </c>
      <c r="L18" s="51">
        <f t="shared" si="6"/>
        <v>2400</v>
      </c>
    </row>
    <row r="19" ht="12.75" customHeight="1">
      <c r="A19" s="28" t="s">
        <v>57</v>
      </c>
      <c r="B19" s="28">
        <v>6.009888657775E12</v>
      </c>
      <c r="C19" s="53">
        <f t="shared" si="1"/>
        <v>320.1217391</v>
      </c>
      <c r="D19" s="53">
        <v>368.14</v>
      </c>
      <c r="E19" s="53">
        <f t="shared" si="2"/>
        <v>539.1304348</v>
      </c>
      <c r="F19" s="53">
        <v>620.0</v>
      </c>
      <c r="G19" s="53">
        <f>80.87*1.15</f>
        <v>93.0005</v>
      </c>
      <c r="H19" s="54">
        <f t="shared" si="3"/>
        <v>0.4062258065</v>
      </c>
      <c r="I19" s="55">
        <v>7.0</v>
      </c>
      <c r="J19" s="53">
        <f t="shared" si="4"/>
        <v>3688.9965</v>
      </c>
      <c r="K19" s="51">
        <f t="shared" si="5"/>
        <v>651.0035</v>
      </c>
      <c r="L19" s="51">
        <f t="shared" si="6"/>
        <v>4340</v>
      </c>
    </row>
    <row r="20" ht="12.75" customHeight="1">
      <c r="A20" s="21" t="s">
        <v>58</v>
      </c>
      <c r="B20" s="21">
        <v>6.009888657652E12</v>
      </c>
      <c r="C20" s="48">
        <f t="shared" si="1"/>
        <v>4338.973913</v>
      </c>
      <c r="D20" s="48">
        <v>4989.82</v>
      </c>
      <c r="E20" s="48">
        <f t="shared" si="2"/>
        <v>6260.869565</v>
      </c>
      <c r="F20" s="48">
        <v>7200.0</v>
      </c>
      <c r="G20" s="48"/>
      <c r="H20" s="49">
        <f t="shared" si="3"/>
        <v>0.3069694444</v>
      </c>
      <c r="I20" s="50">
        <v>0.0</v>
      </c>
      <c r="J20" s="48">
        <f t="shared" si="4"/>
        <v>0</v>
      </c>
      <c r="K20" s="51">
        <f t="shared" si="5"/>
        <v>0</v>
      </c>
      <c r="L20" s="51">
        <f t="shared" si="6"/>
        <v>0</v>
      </c>
    </row>
    <row r="21" ht="12.75" customHeight="1">
      <c r="A21" s="28" t="s">
        <v>59</v>
      </c>
      <c r="B21" s="28">
        <v>6.009888657645E12</v>
      </c>
      <c r="C21" s="53">
        <f t="shared" si="1"/>
        <v>2279.382609</v>
      </c>
      <c r="D21" s="53">
        <v>2621.29</v>
      </c>
      <c r="E21" s="53">
        <f t="shared" si="2"/>
        <v>3304.347826</v>
      </c>
      <c r="F21" s="53">
        <v>3800.0</v>
      </c>
      <c r="G21" s="53">
        <f>495.65*1.15</f>
        <v>569.9975</v>
      </c>
      <c r="H21" s="54">
        <f t="shared" si="3"/>
        <v>0.3101868421</v>
      </c>
      <c r="I21" s="55">
        <v>1.0</v>
      </c>
      <c r="J21" s="53">
        <f t="shared" si="4"/>
        <v>3230.0025</v>
      </c>
      <c r="K21" s="51">
        <f t="shared" si="5"/>
        <v>569.9975</v>
      </c>
      <c r="L21" s="51">
        <f t="shared" si="6"/>
        <v>3800</v>
      </c>
    </row>
    <row r="22" ht="12.75" customHeight="1">
      <c r="A22" s="21" t="s">
        <v>60</v>
      </c>
      <c r="B22" s="21">
        <v>6.009888657638E12</v>
      </c>
      <c r="C22" s="48">
        <f t="shared" si="1"/>
        <v>3766.852174</v>
      </c>
      <c r="D22" s="48">
        <v>4331.88</v>
      </c>
      <c r="E22" s="48">
        <f t="shared" si="2"/>
        <v>5478.26087</v>
      </c>
      <c r="F22" s="48">
        <v>6300.0</v>
      </c>
      <c r="G22" s="48"/>
      <c r="H22" s="49">
        <f t="shared" si="3"/>
        <v>0.3124</v>
      </c>
      <c r="I22" s="50">
        <v>0.0</v>
      </c>
      <c r="J22" s="48">
        <f t="shared" si="4"/>
        <v>0</v>
      </c>
      <c r="K22" s="51">
        <f t="shared" si="5"/>
        <v>0</v>
      </c>
      <c r="L22" s="51">
        <f t="shared" si="6"/>
        <v>0</v>
      </c>
    </row>
    <row r="23" ht="12.75" customHeight="1">
      <c r="A23" s="28" t="s">
        <v>61</v>
      </c>
      <c r="B23" s="28">
        <v>6.009888657799E12</v>
      </c>
      <c r="C23" s="53">
        <f t="shared" si="1"/>
        <v>187.8086957</v>
      </c>
      <c r="D23" s="53">
        <v>215.98</v>
      </c>
      <c r="E23" s="53">
        <f t="shared" si="2"/>
        <v>869.5652174</v>
      </c>
      <c r="F23" s="53">
        <v>1000.0</v>
      </c>
      <c r="G23" s="53"/>
      <c r="H23" s="54">
        <f t="shared" si="3"/>
        <v>0.78402</v>
      </c>
      <c r="I23" s="57">
        <v>0.0</v>
      </c>
      <c r="J23" s="53">
        <f t="shared" si="4"/>
        <v>0</v>
      </c>
      <c r="K23" s="51">
        <f t="shared" si="5"/>
        <v>0</v>
      </c>
      <c r="L23" s="51">
        <f t="shared" si="6"/>
        <v>0</v>
      </c>
    </row>
    <row r="24" ht="12.75" customHeight="1">
      <c r="A24" s="21" t="s">
        <v>62</v>
      </c>
      <c r="B24" s="21">
        <v>6.009888657782E12</v>
      </c>
      <c r="C24" s="48">
        <f t="shared" si="1"/>
        <v>124.4521739</v>
      </c>
      <c r="D24" s="48">
        <v>143.12</v>
      </c>
      <c r="E24" s="48">
        <f t="shared" si="2"/>
        <v>652.173913</v>
      </c>
      <c r="F24" s="48">
        <v>750.0</v>
      </c>
      <c r="G24" s="48"/>
      <c r="H24" s="49">
        <f t="shared" si="3"/>
        <v>0.8091733333</v>
      </c>
      <c r="I24" s="50">
        <v>0.0</v>
      </c>
      <c r="J24" s="48">
        <f t="shared" si="4"/>
        <v>0</v>
      </c>
      <c r="K24" s="51">
        <f t="shared" si="5"/>
        <v>0</v>
      </c>
      <c r="L24" s="51">
        <f t="shared" si="6"/>
        <v>0</v>
      </c>
    </row>
    <row r="25" ht="12.75" customHeight="1">
      <c r="A25" s="28" t="s">
        <v>63</v>
      </c>
      <c r="B25" s="28">
        <v>6.009888657805E12</v>
      </c>
      <c r="C25" s="53">
        <f t="shared" si="1"/>
        <v>241.4521739</v>
      </c>
      <c r="D25" s="53">
        <v>277.67</v>
      </c>
      <c r="E25" s="53">
        <f t="shared" si="2"/>
        <v>1217.391304</v>
      </c>
      <c r="F25" s="53">
        <v>1400.0</v>
      </c>
      <c r="G25" s="53"/>
      <c r="H25" s="54">
        <f t="shared" si="3"/>
        <v>0.8016642857</v>
      </c>
      <c r="I25" s="57">
        <v>0.0</v>
      </c>
      <c r="J25" s="53">
        <f t="shared" si="4"/>
        <v>0</v>
      </c>
      <c r="K25" s="51">
        <f t="shared" si="5"/>
        <v>0</v>
      </c>
      <c r="L25" s="51">
        <f t="shared" si="6"/>
        <v>0</v>
      </c>
    </row>
    <row r="26" ht="12.75" customHeight="1">
      <c r="B26" s="19"/>
      <c r="C26" s="37"/>
      <c r="D26" s="19"/>
      <c r="E26" s="37"/>
      <c r="G26" s="38"/>
      <c r="H26" s="38"/>
    </row>
    <row r="27" ht="12.75" customHeight="1">
      <c r="B27" s="19"/>
      <c r="C27" s="37"/>
      <c r="D27" s="19"/>
      <c r="E27" s="37"/>
      <c r="G27" s="38"/>
      <c r="H27" s="38"/>
    </row>
    <row r="28" ht="12.75" customHeight="1">
      <c r="B28" s="19"/>
      <c r="C28" s="37"/>
      <c r="D28" s="19"/>
      <c r="E28" s="37"/>
      <c r="G28" s="38"/>
      <c r="H28" s="38"/>
    </row>
    <row r="29" ht="12.75" customHeight="1">
      <c r="B29" s="19"/>
      <c r="C29" s="37"/>
      <c r="D29" s="19"/>
      <c r="E29" s="37"/>
      <c r="G29" s="38"/>
      <c r="H29" s="38"/>
    </row>
    <row r="30" ht="12.75" customHeight="1">
      <c r="B30" s="19"/>
      <c r="C30" s="37"/>
      <c r="D30" s="19"/>
      <c r="E30" s="37"/>
      <c r="G30" s="38"/>
      <c r="H30" s="38"/>
    </row>
    <row r="31" ht="12.75" customHeight="1">
      <c r="B31" s="19"/>
      <c r="C31" s="37"/>
      <c r="D31" s="19"/>
      <c r="E31" s="37"/>
      <c r="G31" s="38"/>
      <c r="H31" s="38"/>
    </row>
    <row r="32" ht="12.75" customHeight="1">
      <c r="B32" s="19"/>
      <c r="C32" s="37"/>
      <c r="D32" s="19"/>
      <c r="E32" s="37"/>
      <c r="G32" s="38"/>
      <c r="H32" s="38"/>
    </row>
    <row r="33" ht="12.75" customHeight="1">
      <c r="B33" s="19"/>
      <c r="C33" s="37"/>
      <c r="D33" s="19"/>
      <c r="E33" s="37"/>
      <c r="G33" s="38"/>
      <c r="H33" s="38"/>
    </row>
    <row r="34" ht="12.75" customHeight="1">
      <c r="B34" s="19"/>
      <c r="C34" s="37"/>
      <c r="D34" s="19"/>
      <c r="E34" s="37"/>
      <c r="G34" s="38"/>
      <c r="H34" s="38"/>
    </row>
    <row r="35" ht="12.75" customHeight="1">
      <c r="B35" s="19"/>
      <c r="C35" s="37"/>
      <c r="D35" s="19"/>
      <c r="E35" s="37"/>
      <c r="G35" s="38"/>
      <c r="H35" s="38"/>
    </row>
    <row r="36" ht="12.75" customHeight="1">
      <c r="B36" s="19"/>
      <c r="C36" s="37"/>
      <c r="D36" s="19"/>
      <c r="E36" s="37"/>
      <c r="G36" s="38"/>
      <c r="H36" s="38"/>
    </row>
    <row r="37" ht="12.75" customHeight="1">
      <c r="B37" s="19"/>
      <c r="C37" s="37"/>
      <c r="D37" s="19"/>
      <c r="E37" s="37"/>
      <c r="G37" s="38"/>
      <c r="H37" s="38"/>
    </row>
    <row r="38" ht="12.75" customHeight="1">
      <c r="B38" s="19"/>
      <c r="C38" s="37"/>
      <c r="D38" s="19"/>
      <c r="E38" s="37"/>
      <c r="G38" s="38"/>
      <c r="H38" s="38"/>
    </row>
    <row r="39" ht="12.75" customHeight="1">
      <c r="B39" s="19"/>
      <c r="C39" s="37"/>
      <c r="D39" s="19"/>
      <c r="E39" s="37"/>
      <c r="G39" s="38"/>
      <c r="H39" s="38"/>
    </row>
    <row r="40" ht="12.75" customHeight="1">
      <c r="B40" s="19"/>
      <c r="C40" s="37"/>
      <c r="D40" s="19"/>
      <c r="E40" s="37"/>
      <c r="G40" s="38"/>
      <c r="H40" s="38"/>
    </row>
    <row r="41" ht="12.75" customHeight="1">
      <c r="B41" s="19"/>
      <c r="C41" s="37"/>
      <c r="D41" s="19"/>
      <c r="E41" s="37"/>
      <c r="G41" s="38"/>
      <c r="H41" s="38"/>
    </row>
    <row r="42" ht="12.75" customHeight="1">
      <c r="B42" s="19"/>
      <c r="C42" s="37"/>
      <c r="D42" s="19"/>
      <c r="E42" s="37"/>
      <c r="G42" s="38"/>
      <c r="H42" s="38"/>
    </row>
    <row r="43" ht="12.75" customHeight="1">
      <c r="B43" s="19"/>
      <c r="C43" s="37"/>
      <c r="D43" s="19"/>
      <c r="E43" s="37"/>
      <c r="G43" s="38"/>
      <c r="H43" s="38"/>
    </row>
    <row r="44" ht="12.75" customHeight="1">
      <c r="B44" s="19"/>
      <c r="C44" s="37"/>
      <c r="D44" s="19"/>
      <c r="E44" s="37"/>
      <c r="G44" s="38"/>
      <c r="H44" s="38"/>
    </row>
    <row r="45" ht="12.75" customHeight="1">
      <c r="B45" s="19"/>
      <c r="C45" s="37"/>
      <c r="D45" s="19"/>
      <c r="E45" s="37"/>
      <c r="G45" s="38"/>
      <c r="H45" s="38"/>
    </row>
    <row r="46" ht="12.75" customHeight="1">
      <c r="B46" s="19"/>
      <c r="C46" s="37"/>
      <c r="D46" s="19"/>
      <c r="E46" s="37"/>
      <c r="G46" s="38"/>
      <c r="H46" s="38"/>
    </row>
    <row r="47" ht="12.75" customHeight="1">
      <c r="B47" s="19"/>
      <c r="C47" s="37"/>
      <c r="D47" s="19"/>
      <c r="E47" s="37"/>
      <c r="G47" s="38"/>
      <c r="H47" s="38"/>
    </row>
    <row r="48" ht="12.75" customHeight="1">
      <c r="B48" s="19"/>
      <c r="C48" s="37"/>
      <c r="D48" s="19"/>
      <c r="E48" s="37"/>
      <c r="G48" s="38"/>
      <c r="H48" s="38"/>
    </row>
    <row r="49" ht="12.75" customHeight="1">
      <c r="B49" s="19"/>
      <c r="C49" s="37"/>
      <c r="D49" s="19"/>
      <c r="E49" s="37"/>
      <c r="G49" s="38"/>
      <c r="H49" s="38"/>
    </row>
    <row r="50" ht="12.75" customHeight="1">
      <c r="B50" s="19"/>
      <c r="C50" s="37"/>
      <c r="D50" s="19"/>
      <c r="E50" s="37"/>
      <c r="G50" s="38"/>
      <c r="H50" s="38"/>
    </row>
    <row r="51" ht="12.75" customHeight="1">
      <c r="B51" s="19"/>
      <c r="C51" s="37"/>
      <c r="D51" s="19"/>
      <c r="E51" s="37"/>
      <c r="G51" s="38"/>
      <c r="H51" s="38"/>
    </row>
    <row r="52" ht="12.75" customHeight="1">
      <c r="B52" s="19"/>
      <c r="C52" s="37"/>
      <c r="D52" s="19"/>
      <c r="E52" s="37"/>
      <c r="G52" s="38"/>
      <c r="H52" s="38"/>
    </row>
    <row r="53" ht="12.75" customHeight="1">
      <c r="B53" s="19"/>
      <c r="C53" s="37"/>
      <c r="D53" s="19"/>
      <c r="E53" s="37"/>
      <c r="G53" s="38"/>
      <c r="H53" s="38"/>
    </row>
    <row r="54" ht="12.75" customHeight="1">
      <c r="B54" s="19"/>
      <c r="C54" s="37"/>
      <c r="D54" s="19"/>
      <c r="E54" s="37"/>
      <c r="G54" s="38"/>
      <c r="H54" s="38"/>
    </row>
    <row r="55" ht="12.75" customHeight="1">
      <c r="B55" s="19"/>
      <c r="C55" s="37"/>
      <c r="D55" s="19"/>
      <c r="E55" s="37"/>
      <c r="G55" s="38"/>
      <c r="H55" s="38"/>
    </row>
    <row r="56" ht="12.75" customHeight="1">
      <c r="B56" s="19"/>
      <c r="C56" s="37"/>
      <c r="D56" s="19"/>
      <c r="E56" s="37"/>
      <c r="G56" s="38"/>
      <c r="H56" s="38"/>
    </row>
    <row r="57" ht="12.75" customHeight="1">
      <c r="B57" s="19"/>
      <c r="C57" s="37"/>
      <c r="D57" s="19"/>
      <c r="E57" s="37"/>
      <c r="G57" s="38"/>
      <c r="H57" s="38"/>
    </row>
    <row r="58" ht="12.75" customHeight="1">
      <c r="B58" s="19"/>
      <c r="C58" s="37"/>
      <c r="D58" s="19"/>
      <c r="E58" s="37"/>
      <c r="G58" s="38"/>
      <c r="H58" s="38"/>
    </row>
    <row r="59" ht="12.75" customHeight="1">
      <c r="B59" s="19"/>
      <c r="C59" s="37"/>
      <c r="D59" s="19"/>
      <c r="E59" s="37"/>
      <c r="G59" s="38"/>
      <c r="H59" s="38"/>
    </row>
    <row r="60" ht="12.75" customHeight="1">
      <c r="B60" s="19"/>
      <c r="C60" s="37"/>
      <c r="D60" s="19"/>
      <c r="E60" s="37"/>
      <c r="G60" s="38"/>
      <c r="H60" s="38"/>
    </row>
    <row r="61" ht="12.75" customHeight="1">
      <c r="B61" s="19"/>
      <c r="C61" s="37"/>
      <c r="D61" s="19"/>
      <c r="E61" s="37"/>
      <c r="G61" s="38"/>
      <c r="H61" s="38"/>
    </row>
    <row r="62" ht="12.75" customHeight="1">
      <c r="B62" s="19"/>
      <c r="C62" s="37"/>
      <c r="D62" s="19"/>
      <c r="E62" s="37"/>
      <c r="G62" s="38"/>
      <c r="H62" s="38"/>
    </row>
    <row r="63" ht="12.75" customHeight="1">
      <c r="B63" s="19"/>
      <c r="C63" s="37"/>
      <c r="D63" s="19"/>
      <c r="E63" s="37"/>
      <c r="G63" s="38"/>
      <c r="H63" s="38"/>
    </row>
    <row r="64" ht="12.75" customHeight="1">
      <c r="B64" s="19"/>
      <c r="C64" s="37"/>
      <c r="D64" s="19"/>
      <c r="E64" s="37"/>
      <c r="G64" s="38"/>
      <c r="H64" s="38"/>
    </row>
    <row r="65" ht="12.75" customHeight="1">
      <c r="B65" s="19"/>
      <c r="C65" s="37"/>
      <c r="D65" s="19"/>
      <c r="E65" s="37"/>
      <c r="G65" s="38"/>
      <c r="H65" s="38"/>
    </row>
    <row r="66" ht="12.75" customHeight="1">
      <c r="B66" s="19"/>
      <c r="C66" s="37"/>
      <c r="D66" s="19"/>
      <c r="E66" s="37"/>
      <c r="G66" s="38"/>
      <c r="H66" s="38"/>
    </row>
    <row r="67" ht="12.75" customHeight="1">
      <c r="B67" s="19"/>
      <c r="C67" s="37"/>
      <c r="D67" s="19"/>
      <c r="E67" s="37"/>
      <c r="G67" s="38"/>
      <c r="H67" s="38"/>
    </row>
    <row r="68" ht="12.75" customHeight="1">
      <c r="B68" s="19"/>
      <c r="C68" s="37"/>
      <c r="D68" s="19"/>
      <c r="E68" s="37"/>
      <c r="G68" s="38"/>
      <c r="H68" s="38"/>
    </row>
    <row r="69" ht="12.75" customHeight="1">
      <c r="B69" s="19"/>
      <c r="C69" s="37"/>
      <c r="D69" s="19"/>
      <c r="E69" s="37"/>
      <c r="G69" s="38"/>
      <c r="H69" s="38"/>
    </row>
    <row r="70" ht="12.75" customHeight="1">
      <c r="B70" s="19"/>
      <c r="C70" s="37"/>
      <c r="D70" s="19"/>
      <c r="E70" s="37"/>
      <c r="G70" s="38"/>
      <c r="H70" s="38"/>
    </row>
    <row r="71" ht="12.75" customHeight="1">
      <c r="B71" s="19"/>
      <c r="C71" s="37"/>
      <c r="D71" s="19"/>
      <c r="E71" s="37"/>
      <c r="G71" s="38"/>
      <c r="H71" s="38"/>
    </row>
    <row r="72" ht="12.75" customHeight="1">
      <c r="B72" s="19"/>
      <c r="C72" s="37"/>
      <c r="D72" s="19"/>
      <c r="E72" s="37"/>
      <c r="G72" s="38"/>
      <c r="H72" s="38"/>
    </row>
    <row r="73" ht="12.75" customHeight="1">
      <c r="B73" s="19"/>
      <c r="C73" s="37"/>
      <c r="D73" s="19"/>
      <c r="E73" s="37"/>
      <c r="G73" s="38"/>
      <c r="H73" s="38"/>
    </row>
    <row r="74" ht="12.75" customHeight="1">
      <c r="B74" s="19"/>
      <c r="C74" s="37"/>
      <c r="D74" s="19"/>
      <c r="E74" s="37"/>
      <c r="G74" s="38"/>
      <c r="H74" s="38"/>
    </row>
    <row r="75" ht="12.75" customHeight="1">
      <c r="B75" s="19"/>
      <c r="C75" s="37"/>
      <c r="D75" s="19"/>
      <c r="E75" s="37"/>
      <c r="G75" s="38"/>
      <c r="H75" s="38"/>
    </row>
    <row r="76" ht="12.75" customHeight="1">
      <c r="B76" s="19"/>
      <c r="C76" s="37"/>
      <c r="D76" s="19"/>
      <c r="E76" s="37"/>
      <c r="G76" s="38"/>
      <c r="H76" s="38"/>
    </row>
    <row r="77" ht="12.75" customHeight="1">
      <c r="B77" s="19"/>
      <c r="C77" s="37"/>
      <c r="D77" s="19"/>
      <c r="E77" s="37"/>
      <c r="G77" s="38"/>
      <c r="H77" s="38"/>
    </row>
    <row r="78" ht="12.75" customHeight="1">
      <c r="B78" s="19"/>
      <c r="C78" s="37"/>
      <c r="D78" s="19"/>
      <c r="E78" s="37"/>
      <c r="G78" s="38"/>
      <c r="H78" s="38"/>
    </row>
    <row r="79" ht="12.75" customHeight="1">
      <c r="B79" s="19"/>
      <c r="C79" s="37"/>
      <c r="D79" s="19"/>
      <c r="E79" s="37"/>
      <c r="G79" s="38"/>
      <c r="H79" s="38"/>
    </row>
    <row r="80" ht="12.75" customHeight="1">
      <c r="B80" s="19"/>
      <c r="C80" s="37"/>
      <c r="D80" s="19"/>
      <c r="E80" s="37"/>
      <c r="G80" s="38"/>
      <c r="H80" s="38"/>
    </row>
    <row r="81" ht="12.75" customHeight="1">
      <c r="B81" s="19"/>
      <c r="C81" s="37"/>
      <c r="D81" s="19"/>
      <c r="E81" s="37"/>
      <c r="G81" s="38"/>
      <c r="H81" s="38"/>
    </row>
    <row r="82" ht="12.75" customHeight="1">
      <c r="B82" s="19"/>
      <c r="C82" s="37"/>
      <c r="D82" s="19"/>
      <c r="E82" s="37"/>
      <c r="G82" s="38"/>
      <c r="H82" s="38"/>
    </row>
    <row r="83" ht="12.75" customHeight="1">
      <c r="B83" s="19"/>
      <c r="C83" s="37"/>
      <c r="D83" s="19"/>
      <c r="E83" s="37"/>
      <c r="G83" s="38"/>
      <c r="H83" s="38"/>
    </row>
    <row r="84" ht="12.75" customHeight="1">
      <c r="B84" s="19"/>
      <c r="C84" s="37"/>
      <c r="D84" s="19"/>
      <c r="E84" s="37"/>
      <c r="G84" s="38"/>
      <c r="H84" s="38"/>
    </row>
    <row r="85" ht="12.75" customHeight="1">
      <c r="B85" s="19"/>
      <c r="C85" s="37"/>
      <c r="D85" s="19"/>
      <c r="E85" s="37"/>
      <c r="G85" s="38"/>
      <c r="H85" s="38"/>
    </row>
    <row r="86" ht="12.75" customHeight="1">
      <c r="B86" s="19"/>
      <c r="C86" s="37"/>
      <c r="D86" s="19"/>
      <c r="E86" s="37"/>
      <c r="G86" s="38"/>
      <c r="H86" s="38"/>
    </row>
    <row r="87" ht="12.75" customHeight="1">
      <c r="B87" s="19"/>
      <c r="C87" s="37"/>
      <c r="D87" s="19"/>
      <c r="E87" s="37"/>
      <c r="G87" s="38"/>
      <c r="H87" s="38"/>
    </row>
    <row r="88" ht="12.75" customHeight="1">
      <c r="B88" s="19"/>
      <c r="C88" s="37"/>
      <c r="D88" s="19"/>
      <c r="E88" s="37"/>
      <c r="G88" s="38"/>
      <c r="H88" s="38"/>
    </row>
    <row r="89" ht="12.75" customHeight="1">
      <c r="B89" s="19"/>
      <c r="C89" s="37"/>
      <c r="D89" s="19"/>
      <c r="E89" s="37"/>
      <c r="G89" s="38"/>
      <c r="H89" s="38"/>
    </row>
    <row r="90" ht="12.75" customHeight="1">
      <c r="B90" s="19"/>
      <c r="C90" s="37"/>
      <c r="D90" s="19"/>
      <c r="E90" s="37"/>
      <c r="G90" s="38"/>
      <c r="H90" s="38"/>
    </row>
    <row r="91" ht="12.75" customHeight="1">
      <c r="B91" s="19"/>
      <c r="C91" s="37"/>
      <c r="D91" s="19"/>
      <c r="E91" s="37"/>
      <c r="G91" s="38"/>
      <c r="H91" s="38"/>
    </row>
    <row r="92" ht="12.75" customHeight="1">
      <c r="B92" s="19"/>
      <c r="C92" s="37"/>
      <c r="D92" s="19"/>
      <c r="E92" s="37"/>
      <c r="G92" s="38"/>
      <c r="H92" s="38"/>
    </row>
    <row r="93" ht="12.75" customHeight="1">
      <c r="B93" s="19"/>
      <c r="C93" s="37"/>
      <c r="D93" s="19"/>
      <c r="E93" s="37"/>
      <c r="G93" s="38"/>
      <c r="H93" s="38"/>
    </row>
    <row r="94" ht="12.75" customHeight="1">
      <c r="B94" s="19"/>
      <c r="C94" s="37"/>
      <c r="D94" s="19"/>
      <c r="E94" s="37"/>
      <c r="G94" s="38"/>
      <c r="H94" s="38"/>
    </row>
    <row r="95" ht="12.75" customHeight="1">
      <c r="B95" s="19"/>
      <c r="C95" s="37"/>
      <c r="D95" s="19"/>
      <c r="E95" s="37"/>
      <c r="G95" s="38"/>
      <c r="H95" s="38"/>
    </row>
    <row r="96" ht="12.75" customHeight="1">
      <c r="B96" s="19"/>
      <c r="C96" s="37"/>
      <c r="D96" s="19"/>
      <c r="E96" s="37"/>
      <c r="G96" s="38"/>
      <c r="H96" s="38"/>
    </row>
    <row r="97" ht="12.75" customHeight="1">
      <c r="B97" s="19"/>
      <c r="C97" s="37"/>
      <c r="D97" s="19"/>
      <c r="E97" s="37"/>
      <c r="G97" s="38"/>
      <c r="H97" s="38"/>
    </row>
    <row r="98" ht="12.75" customHeight="1">
      <c r="B98" s="19"/>
      <c r="C98" s="37"/>
      <c r="D98" s="19"/>
      <c r="E98" s="37"/>
      <c r="G98" s="38"/>
      <c r="H98" s="38"/>
    </row>
    <row r="99" ht="12.75" customHeight="1">
      <c r="B99" s="19"/>
      <c r="C99" s="37"/>
      <c r="D99" s="19"/>
      <c r="E99" s="37"/>
      <c r="G99" s="38"/>
      <c r="H99" s="38"/>
    </row>
    <row r="100" ht="12.75" customHeight="1">
      <c r="B100" s="19"/>
      <c r="C100" s="37"/>
      <c r="D100" s="19"/>
      <c r="E100" s="37"/>
      <c r="G100" s="38"/>
      <c r="H100" s="38"/>
    </row>
    <row r="101" ht="12.75" customHeight="1">
      <c r="B101" s="19"/>
      <c r="C101" s="37"/>
      <c r="D101" s="19"/>
      <c r="E101" s="37"/>
      <c r="G101" s="38"/>
      <c r="H101" s="38"/>
    </row>
    <row r="102" ht="12.75" customHeight="1">
      <c r="B102" s="19"/>
      <c r="C102" s="37"/>
      <c r="D102" s="19"/>
      <c r="E102" s="37"/>
      <c r="G102" s="38"/>
      <c r="H102" s="38"/>
    </row>
    <row r="103" ht="12.75" customHeight="1">
      <c r="B103" s="19"/>
      <c r="C103" s="37"/>
      <c r="D103" s="19"/>
      <c r="E103" s="37"/>
      <c r="G103" s="38"/>
      <c r="H103" s="38"/>
    </row>
    <row r="104" ht="12.75" customHeight="1">
      <c r="B104" s="19"/>
      <c r="C104" s="37"/>
      <c r="D104" s="19"/>
      <c r="E104" s="37"/>
      <c r="G104" s="38"/>
      <c r="H104" s="38"/>
    </row>
    <row r="105" ht="12.75" customHeight="1">
      <c r="B105" s="19"/>
      <c r="C105" s="37"/>
      <c r="D105" s="19"/>
      <c r="E105" s="37"/>
      <c r="G105" s="38"/>
      <c r="H105" s="38"/>
    </row>
    <row r="106" ht="12.75" customHeight="1">
      <c r="B106" s="19"/>
      <c r="C106" s="37"/>
      <c r="D106" s="19"/>
      <c r="E106" s="37"/>
      <c r="G106" s="38"/>
      <c r="H106" s="38"/>
    </row>
    <row r="107" ht="12.75" customHeight="1">
      <c r="B107" s="19"/>
      <c r="C107" s="37"/>
      <c r="D107" s="19"/>
      <c r="E107" s="37"/>
      <c r="G107" s="38"/>
      <c r="H107" s="38"/>
    </row>
    <row r="108" ht="12.75" customHeight="1">
      <c r="B108" s="19"/>
      <c r="C108" s="37"/>
      <c r="D108" s="19"/>
      <c r="E108" s="37"/>
      <c r="G108" s="38"/>
      <c r="H108" s="38"/>
    </row>
    <row r="109" ht="12.75" customHeight="1">
      <c r="B109" s="19"/>
      <c r="C109" s="37"/>
      <c r="D109" s="19"/>
      <c r="E109" s="37"/>
      <c r="G109" s="38"/>
      <c r="H109" s="38"/>
    </row>
    <row r="110" ht="12.75" customHeight="1">
      <c r="B110" s="19"/>
      <c r="C110" s="37"/>
      <c r="D110" s="19"/>
      <c r="E110" s="37"/>
      <c r="G110" s="38"/>
      <c r="H110" s="38"/>
    </row>
    <row r="111" ht="12.75" customHeight="1">
      <c r="B111" s="19"/>
      <c r="C111" s="37"/>
      <c r="D111" s="19"/>
      <c r="E111" s="37"/>
      <c r="G111" s="38"/>
      <c r="H111" s="38"/>
    </row>
    <row r="112" ht="12.75" customHeight="1">
      <c r="B112" s="19"/>
      <c r="C112" s="37"/>
      <c r="D112" s="19"/>
      <c r="E112" s="37"/>
      <c r="G112" s="38"/>
      <c r="H112" s="38"/>
    </row>
    <row r="113" ht="12.75" customHeight="1">
      <c r="B113" s="19"/>
      <c r="C113" s="37"/>
      <c r="D113" s="19"/>
      <c r="E113" s="37"/>
      <c r="G113" s="38"/>
      <c r="H113" s="38"/>
    </row>
    <row r="114" ht="12.75" customHeight="1">
      <c r="B114" s="19"/>
      <c r="C114" s="37"/>
      <c r="D114" s="19"/>
      <c r="E114" s="37"/>
      <c r="G114" s="38"/>
      <c r="H114" s="38"/>
    </row>
    <row r="115" ht="12.75" customHeight="1">
      <c r="B115" s="19"/>
      <c r="C115" s="37"/>
      <c r="D115" s="19"/>
      <c r="E115" s="37"/>
      <c r="G115" s="38"/>
      <c r="H115" s="38"/>
    </row>
    <row r="116" ht="12.75" customHeight="1">
      <c r="B116" s="19"/>
      <c r="C116" s="37"/>
      <c r="D116" s="19"/>
      <c r="E116" s="37"/>
      <c r="G116" s="38"/>
      <c r="H116" s="38"/>
    </row>
    <row r="117" ht="12.75" customHeight="1">
      <c r="B117" s="19"/>
      <c r="C117" s="37"/>
      <c r="D117" s="19"/>
      <c r="E117" s="37"/>
      <c r="G117" s="38"/>
      <c r="H117" s="38"/>
    </row>
    <row r="118" ht="12.75" customHeight="1">
      <c r="B118" s="19"/>
      <c r="C118" s="37"/>
      <c r="D118" s="19"/>
      <c r="E118" s="37"/>
      <c r="G118" s="38"/>
      <c r="H118" s="38"/>
    </row>
    <row r="119" ht="12.75" customHeight="1">
      <c r="B119" s="19"/>
      <c r="C119" s="37"/>
      <c r="D119" s="19"/>
      <c r="E119" s="37"/>
      <c r="G119" s="38"/>
      <c r="H119" s="38"/>
    </row>
    <row r="120" ht="12.75" customHeight="1">
      <c r="B120" s="19"/>
      <c r="C120" s="37"/>
      <c r="D120" s="19"/>
      <c r="E120" s="37"/>
      <c r="G120" s="38"/>
      <c r="H120" s="38"/>
    </row>
    <row r="121" ht="12.75" customHeight="1">
      <c r="B121" s="19"/>
      <c r="C121" s="37"/>
      <c r="D121" s="19"/>
      <c r="E121" s="37"/>
      <c r="G121" s="38"/>
      <c r="H121" s="38"/>
    </row>
    <row r="122" ht="12.75" customHeight="1">
      <c r="B122" s="19"/>
      <c r="C122" s="37"/>
      <c r="D122" s="19"/>
      <c r="E122" s="37"/>
      <c r="G122" s="38"/>
      <c r="H122" s="38"/>
    </row>
    <row r="123" ht="12.75" customHeight="1">
      <c r="B123" s="19"/>
      <c r="C123" s="37"/>
      <c r="D123" s="19"/>
      <c r="E123" s="37"/>
      <c r="G123" s="38"/>
      <c r="H123" s="38"/>
    </row>
    <row r="124" ht="12.75" customHeight="1">
      <c r="B124" s="19"/>
      <c r="C124" s="37"/>
      <c r="D124" s="19"/>
      <c r="E124" s="37"/>
      <c r="G124" s="38"/>
      <c r="H124" s="38"/>
    </row>
    <row r="125" ht="12.75" customHeight="1">
      <c r="B125" s="19"/>
      <c r="C125" s="37"/>
      <c r="D125" s="19"/>
      <c r="E125" s="37"/>
      <c r="G125" s="38"/>
      <c r="H125" s="38"/>
    </row>
    <row r="126" ht="12.75" customHeight="1">
      <c r="B126" s="19"/>
      <c r="C126" s="37"/>
      <c r="D126" s="19"/>
      <c r="E126" s="37"/>
      <c r="G126" s="38"/>
      <c r="H126" s="38"/>
    </row>
    <row r="127" ht="12.75" customHeight="1">
      <c r="B127" s="19"/>
      <c r="C127" s="37"/>
      <c r="D127" s="19"/>
      <c r="E127" s="37"/>
      <c r="G127" s="38"/>
      <c r="H127" s="38"/>
    </row>
    <row r="128" ht="12.75" customHeight="1">
      <c r="B128" s="19"/>
      <c r="C128" s="37"/>
      <c r="D128" s="19"/>
      <c r="E128" s="37"/>
      <c r="G128" s="38"/>
      <c r="H128" s="38"/>
    </row>
    <row r="129" ht="12.75" customHeight="1">
      <c r="B129" s="19"/>
      <c r="C129" s="37"/>
      <c r="D129" s="19"/>
      <c r="E129" s="37"/>
      <c r="G129" s="38"/>
      <c r="H129" s="38"/>
    </row>
    <row r="130" ht="12.75" customHeight="1">
      <c r="B130" s="19"/>
      <c r="C130" s="37"/>
      <c r="D130" s="19"/>
      <c r="E130" s="37"/>
      <c r="G130" s="38"/>
      <c r="H130" s="38"/>
    </row>
    <row r="131" ht="12.75" customHeight="1">
      <c r="B131" s="19"/>
      <c r="C131" s="37"/>
      <c r="D131" s="19"/>
      <c r="E131" s="37"/>
      <c r="G131" s="38"/>
      <c r="H131" s="38"/>
    </row>
    <row r="132" ht="12.75" customHeight="1">
      <c r="B132" s="19"/>
      <c r="C132" s="37"/>
      <c r="D132" s="19"/>
      <c r="E132" s="37"/>
      <c r="G132" s="38"/>
      <c r="H132" s="38"/>
    </row>
    <row r="133" ht="12.75" customHeight="1">
      <c r="B133" s="19"/>
      <c r="C133" s="37"/>
      <c r="D133" s="19"/>
      <c r="E133" s="37"/>
      <c r="G133" s="38"/>
      <c r="H133" s="38"/>
    </row>
    <row r="134" ht="12.75" customHeight="1">
      <c r="B134" s="19"/>
      <c r="C134" s="37"/>
      <c r="D134" s="19"/>
      <c r="E134" s="37"/>
      <c r="G134" s="38"/>
      <c r="H134" s="38"/>
    </row>
    <row r="135" ht="12.75" customHeight="1">
      <c r="B135" s="19"/>
      <c r="C135" s="37"/>
      <c r="D135" s="19"/>
      <c r="E135" s="37"/>
      <c r="G135" s="38"/>
      <c r="H135" s="38"/>
    </row>
    <row r="136" ht="12.75" customHeight="1">
      <c r="B136" s="19"/>
      <c r="C136" s="37"/>
      <c r="D136" s="19"/>
      <c r="E136" s="37"/>
      <c r="G136" s="38"/>
      <c r="H136" s="38"/>
    </row>
    <row r="137" ht="12.75" customHeight="1">
      <c r="B137" s="19"/>
      <c r="C137" s="37"/>
      <c r="D137" s="19"/>
      <c r="E137" s="37"/>
      <c r="G137" s="38"/>
      <c r="H137" s="38"/>
    </row>
    <row r="138" ht="12.75" customHeight="1">
      <c r="B138" s="19"/>
      <c r="C138" s="37"/>
      <c r="D138" s="19"/>
      <c r="E138" s="37"/>
      <c r="G138" s="38"/>
      <c r="H138" s="38"/>
    </row>
    <row r="139" ht="12.75" customHeight="1">
      <c r="B139" s="19"/>
      <c r="C139" s="37"/>
      <c r="D139" s="19"/>
      <c r="E139" s="37"/>
      <c r="G139" s="38"/>
      <c r="H139" s="38"/>
    </row>
    <row r="140" ht="12.75" customHeight="1">
      <c r="B140" s="19"/>
      <c r="C140" s="37"/>
      <c r="D140" s="19"/>
      <c r="E140" s="37"/>
      <c r="G140" s="38"/>
      <c r="H140" s="38"/>
    </row>
    <row r="141" ht="12.75" customHeight="1">
      <c r="B141" s="19"/>
      <c r="C141" s="37"/>
      <c r="D141" s="19"/>
      <c r="E141" s="37"/>
      <c r="G141" s="38"/>
      <c r="H141" s="38"/>
    </row>
    <row r="142" ht="12.75" customHeight="1">
      <c r="B142" s="19"/>
      <c r="C142" s="37"/>
      <c r="D142" s="19"/>
      <c r="E142" s="37"/>
      <c r="G142" s="38"/>
      <c r="H142" s="38"/>
    </row>
    <row r="143" ht="12.75" customHeight="1">
      <c r="B143" s="19"/>
      <c r="C143" s="37"/>
      <c r="D143" s="19"/>
      <c r="E143" s="37"/>
      <c r="G143" s="38"/>
      <c r="H143" s="38"/>
    </row>
    <row r="144" ht="12.75" customHeight="1">
      <c r="B144" s="19"/>
      <c r="C144" s="37"/>
      <c r="D144" s="19"/>
      <c r="E144" s="37"/>
      <c r="G144" s="38"/>
      <c r="H144" s="38"/>
    </row>
    <row r="145" ht="12.75" customHeight="1">
      <c r="B145" s="19"/>
      <c r="C145" s="37"/>
      <c r="D145" s="19"/>
      <c r="E145" s="37"/>
      <c r="G145" s="38"/>
      <c r="H145" s="38"/>
    </row>
    <row r="146" ht="12.75" customHeight="1">
      <c r="B146" s="19"/>
      <c r="C146" s="37"/>
      <c r="D146" s="19"/>
      <c r="E146" s="37"/>
      <c r="G146" s="38"/>
      <c r="H146" s="38"/>
    </row>
    <row r="147" ht="12.75" customHeight="1">
      <c r="B147" s="19"/>
      <c r="C147" s="37"/>
      <c r="D147" s="19"/>
      <c r="E147" s="37"/>
      <c r="G147" s="38"/>
      <c r="H147" s="38"/>
    </row>
    <row r="148" ht="12.75" customHeight="1">
      <c r="B148" s="19"/>
      <c r="C148" s="37"/>
      <c r="D148" s="19"/>
      <c r="E148" s="37"/>
      <c r="G148" s="38"/>
      <c r="H148" s="38"/>
    </row>
    <row r="149" ht="12.75" customHeight="1">
      <c r="B149" s="19"/>
      <c r="C149" s="37"/>
      <c r="D149" s="19"/>
      <c r="E149" s="37"/>
      <c r="G149" s="38"/>
      <c r="H149" s="38"/>
    </row>
    <row r="150" ht="12.75" customHeight="1">
      <c r="B150" s="19"/>
      <c r="C150" s="37"/>
      <c r="D150" s="19"/>
      <c r="E150" s="37"/>
      <c r="G150" s="38"/>
      <c r="H150" s="38"/>
    </row>
    <row r="151" ht="12.75" customHeight="1">
      <c r="B151" s="19"/>
      <c r="C151" s="37"/>
      <c r="D151" s="19"/>
      <c r="E151" s="37"/>
      <c r="G151" s="38"/>
      <c r="H151" s="38"/>
    </row>
    <row r="152" ht="12.75" customHeight="1">
      <c r="B152" s="19"/>
      <c r="C152" s="37"/>
      <c r="D152" s="19"/>
      <c r="E152" s="37"/>
      <c r="G152" s="38"/>
      <c r="H152" s="38"/>
    </row>
    <row r="153" ht="12.75" customHeight="1">
      <c r="B153" s="19"/>
      <c r="C153" s="37"/>
      <c r="D153" s="19"/>
      <c r="E153" s="37"/>
      <c r="G153" s="38"/>
      <c r="H153" s="38"/>
    </row>
    <row r="154" ht="12.75" customHeight="1">
      <c r="B154" s="19"/>
      <c r="C154" s="37"/>
      <c r="D154" s="19"/>
      <c r="E154" s="37"/>
      <c r="G154" s="38"/>
      <c r="H154" s="38"/>
    </row>
    <row r="155" ht="12.75" customHeight="1">
      <c r="B155" s="19"/>
      <c r="C155" s="37"/>
      <c r="D155" s="19"/>
      <c r="E155" s="37"/>
      <c r="G155" s="38"/>
      <c r="H155" s="38"/>
    </row>
    <row r="156" ht="12.75" customHeight="1">
      <c r="B156" s="19"/>
      <c r="C156" s="37"/>
      <c r="D156" s="19"/>
      <c r="E156" s="37"/>
      <c r="G156" s="38"/>
      <c r="H156" s="38"/>
    </row>
    <row r="157" ht="12.75" customHeight="1">
      <c r="B157" s="19"/>
      <c r="C157" s="37"/>
      <c r="D157" s="19"/>
      <c r="E157" s="37"/>
      <c r="G157" s="38"/>
      <c r="H157" s="38"/>
    </row>
    <row r="158" ht="12.75" customHeight="1">
      <c r="B158" s="19"/>
      <c r="C158" s="37"/>
      <c r="D158" s="19"/>
      <c r="E158" s="37"/>
      <c r="G158" s="38"/>
      <c r="H158" s="38"/>
    </row>
    <row r="159" ht="12.75" customHeight="1">
      <c r="B159" s="19"/>
      <c r="C159" s="37"/>
      <c r="D159" s="19"/>
      <c r="E159" s="37"/>
      <c r="G159" s="38"/>
      <c r="H159" s="38"/>
    </row>
    <row r="160" ht="12.75" customHeight="1">
      <c r="B160" s="19"/>
      <c r="C160" s="37"/>
      <c r="D160" s="19"/>
      <c r="E160" s="37"/>
      <c r="G160" s="38"/>
      <c r="H160" s="38"/>
    </row>
    <row r="161" ht="12.75" customHeight="1">
      <c r="B161" s="19"/>
      <c r="C161" s="37"/>
      <c r="D161" s="19"/>
      <c r="E161" s="37"/>
      <c r="G161" s="38"/>
      <c r="H161" s="38"/>
    </row>
    <row r="162" ht="12.75" customHeight="1">
      <c r="B162" s="19"/>
      <c r="C162" s="37"/>
      <c r="D162" s="19"/>
      <c r="E162" s="37"/>
      <c r="G162" s="38"/>
      <c r="H162" s="38"/>
    </row>
    <row r="163" ht="12.75" customHeight="1">
      <c r="B163" s="19"/>
      <c r="C163" s="37"/>
      <c r="D163" s="19"/>
      <c r="E163" s="37"/>
      <c r="G163" s="38"/>
      <c r="H163" s="38"/>
    </row>
    <row r="164" ht="12.75" customHeight="1">
      <c r="B164" s="19"/>
      <c r="C164" s="37"/>
      <c r="D164" s="19"/>
      <c r="E164" s="37"/>
      <c r="G164" s="38"/>
      <c r="H164" s="38"/>
    </row>
    <row r="165" ht="12.75" customHeight="1">
      <c r="B165" s="19"/>
      <c r="C165" s="37"/>
      <c r="D165" s="19"/>
      <c r="E165" s="37"/>
      <c r="G165" s="38"/>
      <c r="H165" s="38"/>
    </row>
    <row r="166" ht="12.75" customHeight="1">
      <c r="B166" s="19"/>
      <c r="C166" s="37"/>
      <c r="D166" s="19"/>
      <c r="E166" s="37"/>
      <c r="G166" s="38"/>
      <c r="H166" s="38"/>
    </row>
    <row r="167" ht="12.75" customHeight="1">
      <c r="B167" s="19"/>
      <c r="C167" s="37"/>
      <c r="D167" s="19"/>
      <c r="E167" s="37"/>
      <c r="G167" s="38"/>
      <c r="H167" s="38"/>
    </row>
    <row r="168" ht="12.75" customHeight="1">
      <c r="B168" s="19"/>
      <c r="C168" s="37"/>
      <c r="D168" s="19"/>
      <c r="E168" s="37"/>
      <c r="G168" s="38"/>
      <c r="H168" s="38"/>
    </row>
    <row r="169" ht="12.75" customHeight="1">
      <c r="B169" s="19"/>
      <c r="C169" s="37"/>
      <c r="D169" s="19"/>
      <c r="E169" s="37"/>
      <c r="G169" s="38"/>
      <c r="H169" s="38"/>
    </row>
    <row r="170" ht="12.75" customHeight="1">
      <c r="B170" s="19"/>
      <c r="C170" s="37"/>
      <c r="D170" s="19"/>
      <c r="E170" s="37"/>
      <c r="G170" s="38"/>
      <c r="H170" s="38"/>
    </row>
    <row r="171" ht="12.75" customHeight="1">
      <c r="B171" s="19"/>
      <c r="C171" s="37"/>
      <c r="D171" s="19"/>
      <c r="E171" s="37"/>
      <c r="G171" s="38"/>
      <c r="H171" s="38"/>
    </row>
    <row r="172" ht="12.75" customHeight="1">
      <c r="B172" s="19"/>
      <c r="C172" s="37"/>
      <c r="D172" s="19"/>
      <c r="E172" s="37"/>
      <c r="G172" s="38"/>
      <c r="H172" s="38"/>
    </row>
    <row r="173" ht="12.75" customHeight="1">
      <c r="B173" s="19"/>
      <c r="C173" s="37"/>
      <c r="D173" s="19"/>
      <c r="E173" s="37"/>
      <c r="G173" s="38"/>
      <c r="H173" s="38"/>
    </row>
    <row r="174" ht="12.75" customHeight="1">
      <c r="B174" s="19"/>
      <c r="C174" s="37"/>
      <c r="D174" s="19"/>
      <c r="E174" s="37"/>
      <c r="G174" s="38"/>
      <c r="H174" s="38"/>
    </row>
    <row r="175" ht="12.75" customHeight="1">
      <c r="B175" s="19"/>
      <c r="C175" s="37"/>
      <c r="D175" s="19"/>
      <c r="E175" s="37"/>
      <c r="G175" s="38"/>
      <c r="H175" s="38"/>
    </row>
    <row r="176" ht="12.75" customHeight="1">
      <c r="B176" s="19"/>
      <c r="C176" s="37"/>
      <c r="D176" s="19"/>
      <c r="E176" s="37"/>
      <c r="G176" s="38"/>
      <c r="H176" s="38"/>
    </row>
    <row r="177" ht="12.75" customHeight="1">
      <c r="B177" s="19"/>
      <c r="C177" s="37"/>
      <c r="D177" s="19"/>
      <c r="E177" s="37"/>
      <c r="G177" s="38"/>
      <c r="H177" s="38"/>
    </row>
    <row r="178" ht="12.75" customHeight="1">
      <c r="B178" s="19"/>
      <c r="C178" s="37"/>
      <c r="D178" s="19"/>
      <c r="E178" s="37"/>
      <c r="G178" s="38"/>
      <c r="H178" s="38"/>
    </row>
    <row r="179" ht="12.75" customHeight="1">
      <c r="B179" s="19"/>
      <c r="C179" s="37"/>
      <c r="D179" s="19"/>
      <c r="E179" s="37"/>
      <c r="G179" s="38"/>
      <c r="H179" s="38"/>
    </row>
    <row r="180" ht="12.75" customHeight="1">
      <c r="B180" s="19"/>
      <c r="C180" s="37"/>
      <c r="D180" s="19"/>
      <c r="E180" s="37"/>
      <c r="G180" s="38"/>
      <c r="H180" s="38"/>
    </row>
    <row r="181" ht="12.75" customHeight="1">
      <c r="B181" s="19"/>
      <c r="C181" s="37"/>
      <c r="D181" s="19"/>
      <c r="E181" s="37"/>
      <c r="G181" s="38"/>
      <c r="H181" s="38"/>
    </row>
    <row r="182" ht="12.75" customHeight="1">
      <c r="B182" s="19"/>
      <c r="C182" s="37"/>
      <c r="D182" s="19"/>
      <c r="E182" s="37"/>
      <c r="G182" s="38"/>
      <c r="H182" s="38"/>
    </row>
    <row r="183" ht="12.75" customHeight="1">
      <c r="B183" s="19"/>
      <c r="C183" s="37"/>
      <c r="D183" s="19"/>
      <c r="E183" s="37"/>
      <c r="G183" s="38"/>
      <c r="H183" s="38"/>
    </row>
    <row r="184" ht="12.75" customHeight="1">
      <c r="B184" s="19"/>
      <c r="C184" s="37"/>
      <c r="D184" s="19"/>
      <c r="E184" s="37"/>
      <c r="G184" s="38"/>
      <c r="H184" s="38"/>
    </row>
    <row r="185" ht="12.75" customHeight="1">
      <c r="B185" s="19"/>
      <c r="C185" s="37"/>
      <c r="D185" s="19"/>
      <c r="E185" s="37"/>
      <c r="G185" s="38"/>
      <c r="H185" s="38"/>
    </row>
    <row r="186" ht="12.75" customHeight="1">
      <c r="B186" s="19"/>
      <c r="C186" s="37"/>
      <c r="D186" s="19"/>
      <c r="E186" s="37"/>
      <c r="G186" s="38"/>
      <c r="H186" s="38"/>
    </row>
    <row r="187" ht="12.75" customHeight="1">
      <c r="B187" s="19"/>
      <c r="C187" s="37"/>
      <c r="D187" s="19"/>
      <c r="E187" s="37"/>
      <c r="G187" s="38"/>
      <c r="H187" s="38"/>
    </row>
    <row r="188" ht="12.75" customHeight="1">
      <c r="B188" s="19"/>
      <c r="C188" s="37"/>
      <c r="D188" s="19"/>
      <c r="E188" s="37"/>
      <c r="G188" s="38"/>
      <c r="H188" s="38"/>
    </row>
    <row r="189" ht="12.75" customHeight="1">
      <c r="B189" s="19"/>
      <c r="C189" s="37"/>
      <c r="D189" s="19"/>
      <c r="E189" s="37"/>
      <c r="G189" s="38"/>
      <c r="H189" s="38"/>
    </row>
    <row r="190" ht="12.75" customHeight="1">
      <c r="B190" s="19"/>
      <c r="C190" s="37"/>
      <c r="D190" s="19"/>
      <c r="E190" s="37"/>
      <c r="G190" s="38"/>
      <c r="H190" s="38"/>
    </row>
    <row r="191" ht="12.75" customHeight="1">
      <c r="B191" s="19"/>
      <c r="C191" s="37"/>
      <c r="D191" s="19"/>
      <c r="E191" s="37"/>
      <c r="G191" s="38"/>
      <c r="H191" s="38"/>
    </row>
    <row r="192" ht="12.75" customHeight="1">
      <c r="B192" s="19"/>
      <c r="C192" s="37"/>
      <c r="D192" s="19"/>
      <c r="E192" s="37"/>
      <c r="G192" s="38"/>
      <c r="H192" s="38"/>
    </row>
    <row r="193" ht="12.75" customHeight="1">
      <c r="B193" s="19"/>
      <c r="C193" s="37"/>
      <c r="D193" s="19"/>
      <c r="E193" s="37"/>
      <c r="G193" s="38"/>
      <c r="H193" s="38"/>
    </row>
    <row r="194" ht="12.75" customHeight="1">
      <c r="B194" s="19"/>
      <c r="C194" s="37"/>
      <c r="D194" s="19"/>
      <c r="E194" s="37"/>
      <c r="G194" s="38"/>
      <c r="H194" s="38"/>
    </row>
    <row r="195" ht="12.75" customHeight="1">
      <c r="B195" s="19"/>
      <c r="C195" s="37"/>
      <c r="D195" s="19"/>
      <c r="E195" s="37"/>
      <c r="G195" s="38"/>
      <c r="H195" s="38"/>
    </row>
    <row r="196" ht="12.75" customHeight="1">
      <c r="B196" s="19"/>
      <c r="C196" s="37"/>
      <c r="D196" s="19"/>
      <c r="E196" s="37"/>
      <c r="G196" s="38"/>
      <c r="H196" s="38"/>
    </row>
    <row r="197" ht="12.75" customHeight="1">
      <c r="B197" s="19"/>
      <c r="C197" s="37"/>
      <c r="D197" s="19"/>
      <c r="E197" s="37"/>
      <c r="G197" s="38"/>
      <c r="H197" s="38"/>
    </row>
    <row r="198" ht="12.75" customHeight="1">
      <c r="B198" s="19"/>
      <c r="C198" s="37"/>
      <c r="D198" s="19"/>
      <c r="E198" s="37"/>
      <c r="G198" s="38"/>
      <c r="H198" s="38"/>
    </row>
    <row r="199" ht="12.75" customHeight="1">
      <c r="B199" s="19"/>
      <c r="C199" s="37"/>
      <c r="D199" s="19"/>
      <c r="E199" s="37"/>
      <c r="G199" s="38"/>
      <c r="H199" s="38"/>
    </row>
    <row r="200" ht="12.75" customHeight="1">
      <c r="B200" s="19"/>
      <c r="C200" s="37"/>
      <c r="D200" s="19"/>
      <c r="E200" s="37"/>
      <c r="G200" s="38"/>
      <c r="H200" s="38"/>
    </row>
    <row r="201" ht="12.75" customHeight="1">
      <c r="B201" s="19"/>
      <c r="C201" s="37"/>
      <c r="D201" s="19"/>
      <c r="E201" s="37"/>
      <c r="G201" s="38"/>
      <c r="H201" s="38"/>
    </row>
    <row r="202" ht="12.75" customHeight="1">
      <c r="B202" s="19"/>
      <c r="C202" s="37"/>
      <c r="D202" s="19"/>
      <c r="E202" s="37"/>
      <c r="G202" s="38"/>
      <c r="H202" s="38"/>
    </row>
    <row r="203" ht="12.75" customHeight="1">
      <c r="B203" s="19"/>
      <c r="C203" s="37"/>
      <c r="D203" s="19"/>
      <c r="E203" s="37"/>
      <c r="G203" s="38"/>
      <c r="H203" s="38"/>
    </row>
    <row r="204" ht="12.75" customHeight="1">
      <c r="B204" s="19"/>
      <c r="C204" s="37"/>
      <c r="D204" s="19"/>
      <c r="E204" s="37"/>
      <c r="G204" s="38"/>
      <c r="H204" s="38"/>
    </row>
    <row r="205" ht="12.75" customHeight="1">
      <c r="B205" s="19"/>
      <c r="C205" s="37"/>
      <c r="D205" s="19"/>
      <c r="E205" s="37"/>
      <c r="G205" s="38"/>
      <c r="H205" s="38"/>
    </row>
    <row r="206" ht="12.75" customHeight="1">
      <c r="B206" s="19"/>
      <c r="C206" s="37"/>
      <c r="D206" s="19"/>
      <c r="E206" s="37"/>
      <c r="G206" s="38"/>
      <c r="H206" s="38"/>
    </row>
    <row r="207" ht="12.75" customHeight="1">
      <c r="B207" s="19"/>
      <c r="C207" s="37"/>
      <c r="D207" s="19"/>
      <c r="E207" s="37"/>
      <c r="G207" s="38"/>
      <c r="H207" s="38"/>
    </row>
    <row r="208" ht="12.75" customHeight="1">
      <c r="B208" s="19"/>
      <c r="C208" s="37"/>
      <c r="D208" s="19"/>
      <c r="E208" s="37"/>
      <c r="G208" s="38"/>
      <c r="H208" s="38"/>
    </row>
    <row r="209" ht="12.75" customHeight="1">
      <c r="B209" s="19"/>
      <c r="C209" s="37"/>
      <c r="D209" s="19"/>
      <c r="E209" s="37"/>
      <c r="G209" s="38"/>
      <c r="H209" s="38"/>
    </row>
    <row r="210" ht="12.75" customHeight="1">
      <c r="B210" s="19"/>
      <c r="C210" s="37"/>
      <c r="D210" s="19"/>
      <c r="E210" s="37"/>
      <c r="G210" s="38"/>
      <c r="H210" s="38"/>
    </row>
    <row r="211" ht="12.75" customHeight="1">
      <c r="B211" s="19"/>
      <c r="C211" s="37"/>
      <c r="D211" s="19"/>
      <c r="E211" s="37"/>
      <c r="G211" s="38"/>
      <c r="H211" s="38"/>
    </row>
    <row r="212" ht="12.75" customHeight="1">
      <c r="B212" s="19"/>
      <c r="C212" s="37"/>
      <c r="D212" s="19"/>
      <c r="E212" s="37"/>
      <c r="G212" s="38"/>
      <c r="H212" s="38"/>
    </row>
    <row r="213" ht="12.75" customHeight="1">
      <c r="B213" s="19"/>
      <c r="C213" s="37"/>
      <c r="D213" s="19"/>
      <c r="E213" s="37"/>
      <c r="G213" s="38"/>
      <c r="H213" s="38"/>
    </row>
    <row r="214" ht="12.75" customHeight="1">
      <c r="B214" s="19"/>
      <c r="C214" s="37"/>
      <c r="D214" s="19"/>
      <c r="E214" s="37"/>
      <c r="G214" s="38"/>
      <c r="H214" s="38"/>
    </row>
    <row r="215" ht="12.75" customHeight="1">
      <c r="B215" s="19"/>
      <c r="C215" s="37"/>
      <c r="D215" s="19"/>
      <c r="E215" s="37"/>
      <c r="G215" s="38"/>
      <c r="H215" s="38"/>
    </row>
    <row r="216" ht="12.75" customHeight="1">
      <c r="B216" s="19"/>
      <c r="C216" s="37"/>
      <c r="D216" s="19"/>
      <c r="E216" s="37"/>
      <c r="G216" s="38"/>
      <c r="H216" s="38"/>
    </row>
    <row r="217" ht="12.75" customHeight="1">
      <c r="B217" s="19"/>
      <c r="C217" s="37"/>
      <c r="D217" s="19"/>
      <c r="E217" s="37"/>
      <c r="G217" s="38"/>
      <c r="H217" s="38"/>
    </row>
    <row r="218" ht="12.75" customHeight="1">
      <c r="B218" s="19"/>
      <c r="C218" s="37"/>
      <c r="D218" s="19"/>
      <c r="E218" s="37"/>
      <c r="G218" s="38"/>
      <c r="H218" s="38"/>
    </row>
    <row r="219" ht="12.75" customHeight="1">
      <c r="B219" s="19"/>
      <c r="C219" s="37"/>
      <c r="D219" s="19"/>
      <c r="E219" s="37"/>
      <c r="G219" s="38"/>
      <c r="H219" s="38"/>
    </row>
    <row r="220" ht="12.75" customHeight="1">
      <c r="B220" s="19"/>
      <c r="C220" s="37"/>
      <c r="D220" s="19"/>
      <c r="E220" s="37"/>
      <c r="G220" s="38"/>
      <c r="H220" s="38"/>
    </row>
    <row r="221" ht="12.75" customHeight="1">
      <c r="B221" s="19"/>
      <c r="C221" s="37"/>
      <c r="D221" s="19"/>
      <c r="E221" s="37"/>
      <c r="G221" s="38"/>
      <c r="H221" s="38"/>
    </row>
    <row r="222" ht="12.75" customHeight="1">
      <c r="B222" s="19"/>
      <c r="C222" s="37"/>
      <c r="D222" s="19"/>
      <c r="E222" s="37"/>
      <c r="G222" s="38"/>
      <c r="H222" s="38"/>
    </row>
    <row r="223" ht="12.75" customHeight="1">
      <c r="B223" s="19"/>
      <c r="C223" s="37"/>
      <c r="D223" s="19"/>
      <c r="E223" s="37"/>
      <c r="G223" s="38"/>
      <c r="H223" s="38"/>
    </row>
    <row r="224" ht="12.75" customHeight="1">
      <c r="B224" s="19"/>
      <c r="C224" s="37"/>
      <c r="D224" s="19"/>
      <c r="E224" s="37"/>
      <c r="G224" s="38"/>
      <c r="H224" s="38"/>
    </row>
    <row r="225" ht="12.75" customHeight="1">
      <c r="B225" s="19"/>
      <c r="C225" s="37"/>
      <c r="D225" s="19"/>
      <c r="E225" s="37"/>
      <c r="G225" s="38"/>
      <c r="H225" s="38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M1:M3"/>
    <mergeCell ref="M4:M5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4.43"/>
    <col customWidth="1" min="2" max="2" width="16.14"/>
    <col customWidth="1" min="3" max="5" width="16.86"/>
    <col customWidth="1" min="6" max="8" width="15.29"/>
    <col customWidth="1" min="9" max="10" width="18.43"/>
    <col customWidth="1" min="11" max="11" width="9.86"/>
    <col customWidth="1" min="12" max="12" width="23.0"/>
    <col customWidth="1" min="13" max="27" width="9.86"/>
  </cols>
  <sheetData>
    <row r="1" ht="12.75" customHeight="1">
      <c r="A1" s="61" t="s">
        <v>82</v>
      </c>
      <c r="B1" s="11"/>
      <c r="C1" s="11"/>
      <c r="D1" s="11"/>
      <c r="E1" s="11"/>
      <c r="F1" s="11"/>
      <c r="G1" s="11"/>
      <c r="H1" s="11"/>
      <c r="I1" s="11"/>
      <c r="J1" s="12"/>
      <c r="L1" s="62" t="s">
        <v>1</v>
      </c>
    </row>
    <row r="2" ht="12.75" customHeight="1">
      <c r="A2" s="63" t="s">
        <v>83</v>
      </c>
      <c r="B2" s="63" t="s">
        <v>84</v>
      </c>
      <c r="C2" s="64" t="s">
        <v>73</v>
      </c>
      <c r="D2" s="63" t="s">
        <v>85</v>
      </c>
      <c r="E2" s="65" t="s">
        <v>75</v>
      </c>
      <c r="F2" s="63" t="s">
        <v>86</v>
      </c>
      <c r="G2" s="63" t="s">
        <v>87</v>
      </c>
      <c r="H2" s="66" t="s">
        <v>78</v>
      </c>
      <c r="I2" s="67" t="s">
        <v>88</v>
      </c>
      <c r="J2" s="67" t="s">
        <v>89</v>
      </c>
      <c r="L2" s="14"/>
    </row>
    <row r="3" ht="12.75" customHeight="1">
      <c r="A3" s="63"/>
      <c r="B3" s="63"/>
      <c r="C3" s="64"/>
      <c r="D3" s="63"/>
      <c r="E3" s="64"/>
      <c r="F3" s="63"/>
      <c r="G3" s="63"/>
      <c r="H3" s="66"/>
      <c r="I3" s="68" t="s">
        <v>19</v>
      </c>
      <c r="J3" s="68" t="s">
        <v>19</v>
      </c>
      <c r="K3" s="19"/>
      <c r="L3" s="20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ht="12.75" customHeight="1">
      <c r="A4" s="69" t="s">
        <v>90</v>
      </c>
      <c r="B4" s="69"/>
      <c r="C4" s="48">
        <f t="shared" ref="C4:C54" si="1">SUM(D4/1.15)</f>
        <v>0</v>
      </c>
      <c r="D4" s="70">
        <v>0.0</v>
      </c>
      <c r="E4" s="70">
        <f t="shared" ref="E4:E54" si="2">SUM(F4/1.15)</f>
        <v>0</v>
      </c>
      <c r="F4" s="70">
        <v>0.0</v>
      </c>
      <c r="G4" s="71"/>
      <c r="H4" s="72" t="str">
        <f t="shared" ref="H4:H54" si="3">SUM(E4-C4)/E4</f>
        <v>#DIV/0!</v>
      </c>
      <c r="I4" s="73">
        <v>0.0</v>
      </c>
      <c r="J4" s="70">
        <f t="shared" ref="J4:J54" si="4">F4*I4</f>
        <v>0</v>
      </c>
      <c r="K4" s="19"/>
      <c r="L4" s="52">
        <f>Takealot!R4</f>
        <v>44725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ht="12.75" customHeight="1">
      <c r="A5" s="69"/>
      <c r="B5" s="69"/>
      <c r="C5" s="48">
        <f t="shared" si="1"/>
        <v>0</v>
      </c>
      <c r="D5" s="70">
        <v>0.0</v>
      </c>
      <c r="E5" s="70">
        <f t="shared" si="2"/>
        <v>0</v>
      </c>
      <c r="F5" s="70">
        <v>0.0</v>
      </c>
      <c r="G5" s="71"/>
      <c r="H5" s="72" t="str">
        <f t="shared" si="3"/>
        <v>#DIV/0!</v>
      </c>
      <c r="I5" s="73">
        <v>0.0</v>
      </c>
      <c r="J5" s="70">
        <f t="shared" si="4"/>
        <v>0</v>
      </c>
      <c r="K5" s="19"/>
      <c r="L5" s="2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ht="12.75" customHeight="1">
      <c r="A6" s="69"/>
      <c r="B6" s="69"/>
      <c r="C6" s="48">
        <f t="shared" si="1"/>
        <v>0</v>
      </c>
      <c r="D6" s="70">
        <v>0.0</v>
      </c>
      <c r="E6" s="70">
        <f t="shared" si="2"/>
        <v>0</v>
      </c>
      <c r="F6" s="70">
        <v>0.0</v>
      </c>
      <c r="G6" s="71"/>
      <c r="H6" s="72" t="str">
        <f t="shared" si="3"/>
        <v>#DIV/0!</v>
      </c>
      <c r="I6" s="73">
        <v>0.0</v>
      </c>
      <c r="J6" s="70">
        <f t="shared" si="4"/>
        <v>0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ht="12.75" customHeight="1">
      <c r="A7" s="69"/>
      <c r="B7" s="69"/>
      <c r="C7" s="48">
        <f t="shared" si="1"/>
        <v>0</v>
      </c>
      <c r="D7" s="70">
        <v>0.0</v>
      </c>
      <c r="E7" s="70">
        <f t="shared" si="2"/>
        <v>0</v>
      </c>
      <c r="F7" s="70">
        <v>0.0</v>
      </c>
      <c r="G7" s="71"/>
      <c r="H7" s="72" t="str">
        <f t="shared" si="3"/>
        <v>#DIV/0!</v>
      </c>
      <c r="I7" s="73">
        <v>0.0</v>
      </c>
      <c r="J7" s="70">
        <f t="shared" si="4"/>
        <v>0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ht="12.75" customHeight="1">
      <c r="A8" s="69"/>
      <c r="B8" s="69"/>
      <c r="C8" s="48">
        <f t="shared" si="1"/>
        <v>0</v>
      </c>
      <c r="D8" s="70">
        <v>0.0</v>
      </c>
      <c r="E8" s="70">
        <f t="shared" si="2"/>
        <v>0</v>
      </c>
      <c r="F8" s="70">
        <v>0.0</v>
      </c>
      <c r="G8" s="71"/>
      <c r="H8" s="72" t="str">
        <f t="shared" si="3"/>
        <v>#DIV/0!</v>
      </c>
      <c r="I8" s="73">
        <v>0.0</v>
      </c>
      <c r="J8" s="70">
        <f t="shared" si="4"/>
        <v>0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ht="12.75" customHeight="1">
      <c r="A9" s="69"/>
      <c r="B9" s="69"/>
      <c r="C9" s="48">
        <f t="shared" si="1"/>
        <v>0</v>
      </c>
      <c r="D9" s="70">
        <v>0.0</v>
      </c>
      <c r="E9" s="70">
        <f t="shared" si="2"/>
        <v>0</v>
      </c>
      <c r="F9" s="70">
        <v>0.0</v>
      </c>
      <c r="G9" s="71"/>
      <c r="H9" s="72" t="str">
        <f t="shared" si="3"/>
        <v>#DIV/0!</v>
      </c>
      <c r="I9" s="73">
        <v>0.0</v>
      </c>
      <c r="J9" s="70">
        <f t="shared" si="4"/>
        <v>0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ht="12.75" customHeight="1">
      <c r="A10" s="69"/>
      <c r="B10" s="69"/>
      <c r="C10" s="48">
        <f t="shared" si="1"/>
        <v>0</v>
      </c>
      <c r="D10" s="70">
        <v>0.0</v>
      </c>
      <c r="E10" s="70">
        <f t="shared" si="2"/>
        <v>0</v>
      </c>
      <c r="F10" s="70">
        <v>0.0</v>
      </c>
      <c r="G10" s="71"/>
      <c r="H10" s="72" t="str">
        <f t="shared" si="3"/>
        <v>#DIV/0!</v>
      </c>
      <c r="I10" s="73">
        <v>0.0</v>
      </c>
      <c r="J10" s="70">
        <f t="shared" si="4"/>
        <v>0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ht="12.75" customHeight="1">
      <c r="A11" s="69"/>
      <c r="B11" s="69"/>
      <c r="C11" s="48">
        <f t="shared" si="1"/>
        <v>0</v>
      </c>
      <c r="D11" s="70">
        <v>0.0</v>
      </c>
      <c r="E11" s="70">
        <f t="shared" si="2"/>
        <v>0</v>
      </c>
      <c r="F11" s="70">
        <v>0.0</v>
      </c>
      <c r="G11" s="71"/>
      <c r="H11" s="72" t="str">
        <f t="shared" si="3"/>
        <v>#DIV/0!</v>
      </c>
      <c r="I11" s="73">
        <v>0.0</v>
      </c>
      <c r="J11" s="70">
        <f t="shared" si="4"/>
        <v>0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ht="12.75" customHeight="1">
      <c r="A12" s="69"/>
      <c r="B12" s="69"/>
      <c r="C12" s="48">
        <f t="shared" si="1"/>
        <v>0</v>
      </c>
      <c r="D12" s="70">
        <v>0.0</v>
      </c>
      <c r="E12" s="70">
        <f t="shared" si="2"/>
        <v>0</v>
      </c>
      <c r="F12" s="70">
        <v>0.0</v>
      </c>
      <c r="G12" s="71"/>
      <c r="H12" s="72" t="str">
        <f t="shared" si="3"/>
        <v>#DIV/0!</v>
      </c>
      <c r="I12" s="73">
        <v>0.0</v>
      </c>
      <c r="J12" s="70">
        <f t="shared" si="4"/>
        <v>0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ht="12.75" customHeight="1">
      <c r="A13" s="69"/>
      <c r="B13" s="69"/>
      <c r="C13" s="48">
        <f t="shared" si="1"/>
        <v>0</v>
      </c>
      <c r="D13" s="70">
        <v>0.0</v>
      </c>
      <c r="E13" s="70">
        <f t="shared" si="2"/>
        <v>0</v>
      </c>
      <c r="F13" s="70">
        <v>0.0</v>
      </c>
      <c r="G13" s="71"/>
      <c r="H13" s="72" t="str">
        <f t="shared" si="3"/>
        <v>#DIV/0!</v>
      </c>
      <c r="I13" s="73">
        <v>0.0</v>
      </c>
      <c r="J13" s="70">
        <f t="shared" si="4"/>
        <v>0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ht="12.75" customHeight="1">
      <c r="A14" s="69"/>
      <c r="B14" s="69"/>
      <c r="C14" s="48">
        <f t="shared" si="1"/>
        <v>0</v>
      </c>
      <c r="D14" s="70">
        <v>0.0</v>
      </c>
      <c r="E14" s="70">
        <f t="shared" si="2"/>
        <v>0</v>
      </c>
      <c r="F14" s="70">
        <v>0.0</v>
      </c>
      <c r="G14" s="71"/>
      <c r="H14" s="72" t="str">
        <f t="shared" si="3"/>
        <v>#DIV/0!</v>
      </c>
      <c r="I14" s="73">
        <v>0.0</v>
      </c>
      <c r="J14" s="70">
        <f t="shared" si="4"/>
        <v>0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ht="12.75" customHeight="1">
      <c r="A15" s="69"/>
      <c r="B15" s="69"/>
      <c r="C15" s="48">
        <f t="shared" si="1"/>
        <v>0</v>
      </c>
      <c r="D15" s="70">
        <v>0.0</v>
      </c>
      <c r="E15" s="70">
        <f t="shared" si="2"/>
        <v>0</v>
      </c>
      <c r="F15" s="70">
        <v>0.0</v>
      </c>
      <c r="G15" s="71"/>
      <c r="H15" s="72" t="str">
        <f t="shared" si="3"/>
        <v>#DIV/0!</v>
      </c>
      <c r="I15" s="73">
        <v>0.0</v>
      </c>
      <c r="J15" s="70">
        <f t="shared" si="4"/>
        <v>0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ht="12.75" customHeight="1">
      <c r="A16" s="69"/>
      <c r="B16" s="69"/>
      <c r="C16" s="48">
        <f t="shared" si="1"/>
        <v>0</v>
      </c>
      <c r="D16" s="70">
        <v>0.0</v>
      </c>
      <c r="E16" s="70">
        <f t="shared" si="2"/>
        <v>0</v>
      </c>
      <c r="F16" s="70">
        <v>0.0</v>
      </c>
      <c r="G16" s="71"/>
      <c r="H16" s="72" t="str">
        <f t="shared" si="3"/>
        <v>#DIV/0!</v>
      </c>
      <c r="I16" s="73">
        <v>0.0</v>
      </c>
      <c r="J16" s="70">
        <f t="shared" si="4"/>
        <v>0</v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ht="12.75" customHeight="1">
      <c r="A17" s="69"/>
      <c r="B17" s="69"/>
      <c r="C17" s="48">
        <f t="shared" si="1"/>
        <v>0</v>
      </c>
      <c r="D17" s="70">
        <v>0.0</v>
      </c>
      <c r="E17" s="70">
        <f t="shared" si="2"/>
        <v>0</v>
      </c>
      <c r="F17" s="70">
        <v>0.0</v>
      </c>
      <c r="G17" s="71"/>
      <c r="H17" s="72" t="str">
        <f t="shared" si="3"/>
        <v>#DIV/0!</v>
      </c>
      <c r="I17" s="73">
        <v>0.0</v>
      </c>
      <c r="J17" s="70">
        <f t="shared" si="4"/>
        <v>0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ht="12.75" customHeight="1">
      <c r="A18" s="69"/>
      <c r="B18" s="69"/>
      <c r="C18" s="48">
        <f t="shared" si="1"/>
        <v>0</v>
      </c>
      <c r="D18" s="70">
        <v>0.0</v>
      </c>
      <c r="E18" s="70">
        <f t="shared" si="2"/>
        <v>0</v>
      </c>
      <c r="F18" s="70">
        <v>0.0</v>
      </c>
      <c r="G18" s="71"/>
      <c r="H18" s="72" t="str">
        <f t="shared" si="3"/>
        <v>#DIV/0!</v>
      </c>
      <c r="I18" s="73">
        <v>0.0</v>
      </c>
      <c r="J18" s="70">
        <f t="shared" si="4"/>
        <v>0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ht="12.75" customHeight="1">
      <c r="A19" s="69"/>
      <c r="B19" s="69"/>
      <c r="C19" s="48">
        <f t="shared" si="1"/>
        <v>0</v>
      </c>
      <c r="D19" s="70">
        <v>0.0</v>
      </c>
      <c r="E19" s="70">
        <f t="shared" si="2"/>
        <v>0</v>
      </c>
      <c r="F19" s="70">
        <v>0.0</v>
      </c>
      <c r="G19" s="71"/>
      <c r="H19" s="72" t="str">
        <f t="shared" si="3"/>
        <v>#DIV/0!</v>
      </c>
      <c r="I19" s="73">
        <v>0.0</v>
      </c>
      <c r="J19" s="70">
        <f t="shared" si="4"/>
        <v>0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ht="12.75" customHeight="1">
      <c r="A20" s="69"/>
      <c r="B20" s="69"/>
      <c r="C20" s="48">
        <f t="shared" si="1"/>
        <v>0</v>
      </c>
      <c r="D20" s="70">
        <v>0.0</v>
      </c>
      <c r="E20" s="70">
        <f t="shared" si="2"/>
        <v>0</v>
      </c>
      <c r="F20" s="70">
        <v>0.0</v>
      </c>
      <c r="G20" s="71"/>
      <c r="H20" s="72" t="str">
        <f t="shared" si="3"/>
        <v>#DIV/0!</v>
      </c>
      <c r="I20" s="73">
        <v>0.0</v>
      </c>
      <c r="J20" s="70">
        <f t="shared" si="4"/>
        <v>0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ht="12.75" customHeight="1">
      <c r="A21" s="69"/>
      <c r="B21" s="69"/>
      <c r="C21" s="48">
        <f t="shared" si="1"/>
        <v>0</v>
      </c>
      <c r="D21" s="70">
        <v>0.0</v>
      </c>
      <c r="E21" s="70">
        <f t="shared" si="2"/>
        <v>0</v>
      </c>
      <c r="F21" s="70">
        <v>0.0</v>
      </c>
      <c r="G21" s="71"/>
      <c r="H21" s="72" t="str">
        <f t="shared" si="3"/>
        <v>#DIV/0!</v>
      </c>
      <c r="I21" s="73">
        <v>0.0</v>
      </c>
      <c r="J21" s="70">
        <f t="shared" si="4"/>
        <v>0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ht="12.75" customHeight="1">
      <c r="A22" s="69"/>
      <c r="B22" s="69"/>
      <c r="C22" s="48">
        <f t="shared" si="1"/>
        <v>0</v>
      </c>
      <c r="D22" s="70">
        <v>0.0</v>
      </c>
      <c r="E22" s="70">
        <f t="shared" si="2"/>
        <v>0</v>
      </c>
      <c r="F22" s="70">
        <v>0.0</v>
      </c>
      <c r="G22" s="71"/>
      <c r="H22" s="72" t="str">
        <f t="shared" si="3"/>
        <v>#DIV/0!</v>
      </c>
      <c r="I22" s="73">
        <v>0.0</v>
      </c>
      <c r="J22" s="70">
        <f t="shared" si="4"/>
        <v>0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ht="12.75" customHeight="1">
      <c r="A23" s="69"/>
      <c r="B23" s="69"/>
      <c r="C23" s="48">
        <f t="shared" si="1"/>
        <v>0</v>
      </c>
      <c r="D23" s="70">
        <v>0.0</v>
      </c>
      <c r="E23" s="70">
        <f t="shared" si="2"/>
        <v>0</v>
      </c>
      <c r="F23" s="70">
        <v>0.0</v>
      </c>
      <c r="G23" s="71"/>
      <c r="H23" s="72" t="str">
        <f t="shared" si="3"/>
        <v>#DIV/0!</v>
      </c>
      <c r="I23" s="73">
        <v>0.0</v>
      </c>
      <c r="J23" s="70">
        <f t="shared" si="4"/>
        <v>0</v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ht="12.75" customHeight="1">
      <c r="A24" s="69"/>
      <c r="B24" s="69"/>
      <c r="C24" s="48">
        <f t="shared" si="1"/>
        <v>0</v>
      </c>
      <c r="D24" s="70">
        <v>0.0</v>
      </c>
      <c r="E24" s="70">
        <f t="shared" si="2"/>
        <v>0</v>
      </c>
      <c r="F24" s="70">
        <v>0.0</v>
      </c>
      <c r="G24" s="71"/>
      <c r="H24" s="72" t="str">
        <f t="shared" si="3"/>
        <v>#DIV/0!</v>
      </c>
      <c r="I24" s="73">
        <v>0.0</v>
      </c>
      <c r="J24" s="70">
        <f t="shared" si="4"/>
        <v>0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ht="12.75" customHeight="1">
      <c r="A25" s="69"/>
      <c r="B25" s="69"/>
      <c r="C25" s="48">
        <f t="shared" si="1"/>
        <v>0</v>
      </c>
      <c r="D25" s="70">
        <v>0.0</v>
      </c>
      <c r="E25" s="70">
        <f t="shared" si="2"/>
        <v>0</v>
      </c>
      <c r="F25" s="70">
        <v>0.0</v>
      </c>
      <c r="G25" s="71"/>
      <c r="H25" s="72" t="str">
        <f t="shared" si="3"/>
        <v>#DIV/0!</v>
      </c>
      <c r="I25" s="73">
        <v>0.0</v>
      </c>
      <c r="J25" s="70">
        <f t="shared" si="4"/>
        <v>0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ht="12.75" customHeight="1">
      <c r="A26" s="69"/>
      <c r="B26" s="69"/>
      <c r="C26" s="48">
        <f t="shared" si="1"/>
        <v>0</v>
      </c>
      <c r="D26" s="70">
        <v>0.0</v>
      </c>
      <c r="E26" s="70">
        <f t="shared" si="2"/>
        <v>0</v>
      </c>
      <c r="F26" s="70">
        <v>0.0</v>
      </c>
      <c r="G26" s="71"/>
      <c r="H26" s="72" t="str">
        <f t="shared" si="3"/>
        <v>#DIV/0!</v>
      </c>
      <c r="I26" s="73">
        <v>0.0</v>
      </c>
      <c r="J26" s="70">
        <f t="shared" si="4"/>
        <v>0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ht="12.75" customHeight="1">
      <c r="A27" s="69"/>
      <c r="B27" s="69"/>
      <c r="C27" s="48">
        <f t="shared" si="1"/>
        <v>0</v>
      </c>
      <c r="D27" s="70">
        <v>0.0</v>
      </c>
      <c r="E27" s="70">
        <f t="shared" si="2"/>
        <v>0</v>
      </c>
      <c r="F27" s="70">
        <v>0.0</v>
      </c>
      <c r="G27" s="71"/>
      <c r="H27" s="72" t="str">
        <f t="shared" si="3"/>
        <v>#DIV/0!</v>
      </c>
      <c r="I27" s="73">
        <v>0.0</v>
      </c>
      <c r="J27" s="70">
        <f t="shared" si="4"/>
        <v>0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ht="12.75" customHeight="1">
      <c r="A28" s="69"/>
      <c r="B28" s="69"/>
      <c r="C28" s="48">
        <f t="shared" si="1"/>
        <v>0</v>
      </c>
      <c r="D28" s="70">
        <v>0.0</v>
      </c>
      <c r="E28" s="70">
        <f t="shared" si="2"/>
        <v>0</v>
      </c>
      <c r="F28" s="70">
        <v>0.0</v>
      </c>
      <c r="G28" s="71"/>
      <c r="H28" s="72" t="str">
        <f t="shared" si="3"/>
        <v>#DIV/0!</v>
      </c>
      <c r="I28" s="73">
        <v>0.0</v>
      </c>
      <c r="J28" s="70">
        <f t="shared" si="4"/>
        <v>0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ht="12.75" customHeight="1">
      <c r="A29" s="69"/>
      <c r="B29" s="69"/>
      <c r="C29" s="48">
        <f t="shared" si="1"/>
        <v>0</v>
      </c>
      <c r="D29" s="70">
        <v>0.0</v>
      </c>
      <c r="E29" s="70">
        <f t="shared" si="2"/>
        <v>0</v>
      </c>
      <c r="F29" s="70">
        <v>0.0</v>
      </c>
      <c r="G29" s="71"/>
      <c r="H29" s="72" t="str">
        <f t="shared" si="3"/>
        <v>#DIV/0!</v>
      </c>
      <c r="I29" s="73">
        <v>0.0</v>
      </c>
      <c r="J29" s="70">
        <f t="shared" si="4"/>
        <v>0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ht="12.75" customHeight="1">
      <c r="A30" s="69"/>
      <c r="B30" s="69"/>
      <c r="C30" s="48">
        <f t="shared" si="1"/>
        <v>0</v>
      </c>
      <c r="D30" s="70">
        <v>0.0</v>
      </c>
      <c r="E30" s="70">
        <f t="shared" si="2"/>
        <v>0</v>
      </c>
      <c r="F30" s="70">
        <v>0.0</v>
      </c>
      <c r="G30" s="71"/>
      <c r="H30" s="72" t="str">
        <f t="shared" si="3"/>
        <v>#DIV/0!</v>
      </c>
      <c r="I30" s="73">
        <v>0.0</v>
      </c>
      <c r="J30" s="70">
        <f t="shared" si="4"/>
        <v>0</v>
      </c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ht="12.75" customHeight="1">
      <c r="A31" s="69"/>
      <c r="B31" s="69"/>
      <c r="C31" s="48">
        <f t="shared" si="1"/>
        <v>0</v>
      </c>
      <c r="D31" s="70">
        <v>0.0</v>
      </c>
      <c r="E31" s="70">
        <f t="shared" si="2"/>
        <v>0</v>
      </c>
      <c r="F31" s="70">
        <v>0.0</v>
      </c>
      <c r="G31" s="71"/>
      <c r="H31" s="72" t="str">
        <f t="shared" si="3"/>
        <v>#DIV/0!</v>
      </c>
      <c r="I31" s="73">
        <v>0.0</v>
      </c>
      <c r="J31" s="70">
        <f t="shared" si="4"/>
        <v>0</v>
      </c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ht="12.75" customHeight="1">
      <c r="A32" s="69"/>
      <c r="B32" s="69"/>
      <c r="C32" s="48">
        <f t="shared" si="1"/>
        <v>0</v>
      </c>
      <c r="D32" s="70">
        <v>0.0</v>
      </c>
      <c r="E32" s="70">
        <f t="shared" si="2"/>
        <v>0</v>
      </c>
      <c r="F32" s="70">
        <v>0.0</v>
      </c>
      <c r="G32" s="71"/>
      <c r="H32" s="72" t="str">
        <f t="shared" si="3"/>
        <v>#DIV/0!</v>
      </c>
      <c r="I32" s="73">
        <v>0.0</v>
      </c>
      <c r="J32" s="70">
        <f t="shared" si="4"/>
        <v>0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ht="12.75" customHeight="1">
      <c r="A33" s="69"/>
      <c r="B33" s="69"/>
      <c r="C33" s="48">
        <f t="shared" si="1"/>
        <v>0</v>
      </c>
      <c r="D33" s="70">
        <v>0.0</v>
      </c>
      <c r="E33" s="70">
        <f t="shared" si="2"/>
        <v>0</v>
      </c>
      <c r="F33" s="70">
        <v>0.0</v>
      </c>
      <c r="G33" s="71"/>
      <c r="H33" s="72" t="str">
        <f t="shared" si="3"/>
        <v>#DIV/0!</v>
      </c>
      <c r="I33" s="73">
        <v>0.0</v>
      </c>
      <c r="J33" s="70">
        <f t="shared" si="4"/>
        <v>0</v>
      </c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ht="12.75" customHeight="1">
      <c r="A34" s="69"/>
      <c r="B34" s="69"/>
      <c r="C34" s="48">
        <f t="shared" si="1"/>
        <v>0</v>
      </c>
      <c r="D34" s="70">
        <v>0.0</v>
      </c>
      <c r="E34" s="70">
        <f t="shared" si="2"/>
        <v>0</v>
      </c>
      <c r="F34" s="70">
        <v>0.0</v>
      </c>
      <c r="G34" s="71"/>
      <c r="H34" s="72" t="str">
        <f t="shared" si="3"/>
        <v>#DIV/0!</v>
      </c>
      <c r="I34" s="73">
        <v>0.0</v>
      </c>
      <c r="J34" s="70">
        <f t="shared" si="4"/>
        <v>0</v>
      </c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ht="12.75" customHeight="1">
      <c r="A35" s="69"/>
      <c r="B35" s="69"/>
      <c r="C35" s="48">
        <f t="shared" si="1"/>
        <v>0</v>
      </c>
      <c r="D35" s="70">
        <v>0.0</v>
      </c>
      <c r="E35" s="70">
        <f t="shared" si="2"/>
        <v>0</v>
      </c>
      <c r="F35" s="70">
        <v>0.0</v>
      </c>
      <c r="G35" s="71"/>
      <c r="H35" s="72" t="str">
        <f t="shared" si="3"/>
        <v>#DIV/0!</v>
      </c>
      <c r="I35" s="73">
        <v>0.0</v>
      </c>
      <c r="J35" s="70">
        <f t="shared" si="4"/>
        <v>0</v>
      </c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ht="12.75" customHeight="1">
      <c r="A36" s="69"/>
      <c r="B36" s="69"/>
      <c r="C36" s="48">
        <f t="shared" si="1"/>
        <v>0</v>
      </c>
      <c r="D36" s="70">
        <v>0.0</v>
      </c>
      <c r="E36" s="70">
        <f t="shared" si="2"/>
        <v>0</v>
      </c>
      <c r="F36" s="70">
        <v>0.0</v>
      </c>
      <c r="G36" s="71"/>
      <c r="H36" s="72" t="str">
        <f t="shared" si="3"/>
        <v>#DIV/0!</v>
      </c>
      <c r="I36" s="73">
        <v>0.0</v>
      </c>
      <c r="J36" s="70">
        <f t="shared" si="4"/>
        <v>0</v>
      </c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ht="12.75" customHeight="1">
      <c r="A37" s="69"/>
      <c r="B37" s="69"/>
      <c r="C37" s="48">
        <f t="shared" si="1"/>
        <v>0</v>
      </c>
      <c r="D37" s="70">
        <v>0.0</v>
      </c>
      <c r="E37" s="70">
        <f t="shared" si="2"/>
        <v>0</v>
      </c>
      <c r="F37" s="70">
        <v>0.0</v>
      </c>
      <c r="G37" s="71"/>
      <c r="H37" s="72" t="str">
        <f t="shared" si="3"/>
        <v>#DIV/0!</v>
      </c>
      <c r="I37" s="73">
        <v>0.0</v>
      </c>
      <c r="J37" s="70">
        <f t="shared" si="4"/>
        <v>0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ht="12.75" customHeight="1">
      <c r="A38" s="69"/>
      <c r="B38" s="69"/>
      <c r="C38" s="48">
        <f t="shared" si="1"/>
        <v>0</v>
      </c>
      <c r="D38" s="70">
        <v>0.0</v>
      </c>
      <c r="E38" s="70">
        <f t="shared" si="2"/>
        <v>0</v>
      </c>
      <c r="F38" s="70">
        <v>0.0</v>
      </c>
      <c r="G38" s="71"/>
      <c r="H38" s="72" t="str">
        <f t="shared" si="3"/>
        <v>#DIV/0!</v>
      </c>
      <c r="I38" s="73">
        <v>0.0</v>
      </c>
      <c r="J38" s="70">
        <f t="shared" si="4"/>
        <v>0</v>
      </c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ht="12.75" customHeight="1">
      <c r="A39" s="69"/>
      <c r="B39" s="69"/>
      <c r="C39" s="48">
        <f t="shared" si="1"/>
        <v>0</v>
      </c>
      <c r="D39" s="70">
        <v>0.0</v>
      </c>
      <c r="E39" s="70">
        <f t="shared" si="2"/>
        <v>0</v>
      </c>
      <c r="F39" s="70">
        <v>0.0</v>
      </c>
      <c r="G39" s="71"/>
      <c r="H39" s="72" t="str">
        <f t="shared" si="3"/>
        <v>#DIV/0!</v>
      </c>
      <c r="I39" s="73">
        <v>0.0</v>
      </c>
      <c r="J39" s="70">
        <f t="shared" si="4"/>
        <v>0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 ht="12.75" customHeight="1">
      <c r="A40" s="69"/>
      <c r="B40" s="69"/>
      <c r="C40" s="48">
        <f t="shared" si="1"/>
        <v>0</v>
      </c>
      <c r="D40" s="70">
        <v>0.0</v>
      </c>
      <c r="E40" s="70">
        <f t="shared" si="2"/>
        <v>0</v>
      </c>
      <c r="F40" s="70">
        <v>0.0</v>
      </c>
      <c r="G40" s="71"/>
      <c r="H40" s="72" t="str">
        <f t="shared" si="3"/>
        <v>#DIV/0!</v>
      </c>
      <c r="I40" s="73">
        <v>0.0</v>
      </c>
      <c r="J40" s="70">
        <f t="shared" si="4"/>
        <v>0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ht="12.75" customHeight="1">
      <c r="A41" s="69"/>
      <c r="B41" s="69"/>
      <c r="C41" s="48">
        <f t="shared" si="1"/>
        <v>0</v>
      </c>
      <c r="D41" s="70">
        <v>0.0</v>
      </c>
      <c r="E41" s="70">
        <f t="shared" si="2"/>
        <v>0</v>
      </c>
      <c r="F41" s="70">
        <v>0.0</v>
      </c>
      <c r="G41" s="71"/>
      <c r="H41" s="72" t="str">
        <f t="shared" si="3"/>
        <v>#DIV/0!</v>
      </c>
      <c r="I41" s="73">
        <v>0.0</v>
      </c>
      <c r="J41" s="70">
        <f t="shared" si="4"/>
        <v>0</v>
      </c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 ht="12.75" customHeight="1">
      <c r="A42" s="69"/>
      <c r="B42" s="69"/>
      <c r="C42" s="48">
        <f t="shared" si="1"/>
        <v>0</v>
      </c>
      <c r="D42" s="70">
        <v>0.0</v>
      </c>
      <c r="E42" s="70">
        <f t="shared" si="2"/>
        <v>0</v>
      </c>
      <c r="F42" s="70">
        <v>0.0</v>
      </c>
      <c r="G42" s="71"/>
      <c r="H42" s="72" t="str">
        <f t="shared" si="3"/>
        <v>#DIV/0!</v>
      </c>
      <c r="I42" s="73">
        <v>0.0</v>
      </c>
      <c r="J42" s="70">
        <f t="shared" si="4"/>
        <v>0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 ht="12.75" customHeight="1">
      <c r="A43" s="69"/>
      <c r="B43" s="69"/>
      <c r="C43" s="48">
        <f t="shared" si="1"/>
        <v>0</v>
      </c>
      <c r="D43" s="70">
        <v>0.0</v>
      </c>
      <c r="E43" s="70">
        <f t="shared" si="2"/>
        <v>0</v>
      </c>
      <c r="F43" s="70">
        <v>0.0</v>
      </c>
      <c r="G43" s="71"/>
      <c r="H43" s="72" t="str">
        <f t="shared" si="3"/>
        <v>#DIV/0!</v>
      </c>
      <c r="I43" s="73">
        <v>0.0</v>
      </c>
      <c r="J43" s="70">
        <f t="shared" si="4"/>
        <v>0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 ht="12.75" customHeight="1">
      <c r="A44" s="69"/>
      <c r="B44" s="69"/>
      <c r="C44" s="48">
        <f t="shared" si="1"/>
        <v>0</v>
      </c>
      <c r="D44" s="70">
        <v>0.0</v>
      </c>
      <c r="E44" s="70">
        <f t="shared" si="2"/>
        <v>0</v>
      </c>
      <c r="F44" s="70">
        <v>0.0</v>
      </c>
      <c r="G44" s="71"/>
      <c r="H44" s="72" t="str">
        <f t="shared" si="3"/>
        <v>#DIV/0!</v>
      </c>
      <c r="I44" s="73">
        <v>0.0</v>
      </c>
      <c r="J44" s="70">
        <f t="shared" si="4"/>
        <v>0</v>
      </c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ht="12.75" customHeight="1">
      <c r="A45" s="69"/>
      <c r="B45" s="69"/>
      <c r="C45" s="48">
        <f t="shared" si="1"/>
        <v>0</v>
      </c>
      <c r="D45" s="70">
        <v>0.0</v>
      </c>
      <c r="E45" s="70">
        <f t="shared" si="2"/>
        <v>0</v>
      </c>
      <c r="F45" s="70">
        <v>0.0</v>
      </c>
      <c r="G45" s="71"/>
      <c r="H45" s="72" t="str">
        <f t="shared" si="3"/>
        <v>#DIV/0!</v>
      </c>
      <c r="I45" s="73">
        <v>0.0</v>
      </c>
      <c r="J45" s="70">
        <f t="shared" si="4"/>
        <v>0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ht="12.75" customHeight="1">
      <c r="A46" s="69"/>
      <c r="B46" s="69"/>
      <c r="C46" s="48">
        <f t="shared" si="1"/>
        <v>0</v>
      </c>
      <c r="D46" s="70">
        <v>0.0</v>
      </c>
      <c r="E46" s="70">
        <f t="shared" si="2"/>
        <v>0</v>
      </c>
      <c r="F46" s="70">
        <v>0.0</v>
      </c>
      <c r="G46" s="71"/>
      <c r="H46" s="72" t="str">
        <f t="shared" si="3"/>
        <v>#DIV/0!</v>
      </c>
      <c r="I46" s="73">
        <v>0.0</v>
      </c>
      <c r="J46" s="70">
        <f t="shared" si="4"/>
        <v>0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ht="12.75" customHeight="1">
      <c r="A47" s="69"/>
      <c r="B47" s="69"/>
      <c r="C47" s="48">
        <f t="shared" si="1"/>
        <v>0</v>
      </c>
      <c r="D47" s="70">
        <v>0.0</v>
      </c>
      <c r="E47" s="70">
        <f t="shared" si="2"/>
        <v>0</v>
      </c>
      <c r="F47" s="70">
        <v>0.0</v>
      </c>
      <c r="G47" s="71"/>
      <c r="H47" s="72" t="str">
        <f t="shared" si="3"/>
        <v>#DIV/0!</v>
      </c>
      <c r="I47" s="73">
        <v>0.0</v>
      </c>
      <c r="J47" s="70">
        <f t="shared" si="4"/>
        <v>0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ht="12.75" customHeight="1">
      <c r="A48" s="69"/>
      <c r="B48" s="69"/>
      <c r="C48" s="48">
        <f t="shared" si="1"/>
        <v>0</v>
      </c>
      <c r="D48" s="70">
        <v>0.0</v>
      </c>
      <c r="E48" s="70">
        <f t="shared" si="2"/>
        <v>0</v>
      </c>
      <c r="F48" s="70">
        <v>0.0</v>
      </c>
      <c r="G48" s="71"/>
      <c r="H48" s="72" t="str">
        <f t="shared" si="3"/>
        <v>#DIV/0!</v>
      </c>
      <c r="I48" s="73">
        <v>0.0</v>
      </c>
      <c r="J48" s="70">
        <f t="shared" si="4"/>
        <v>0</v>
      </c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ht="12.75" customHeight="1">
      <c r="A49" s="69"/>
      <c r="B49" s="69"/>
      <c r="C49" s="48">
        <f t="shared" si="1"/>
        <v>0</v>
      </c>
      <c r="D49" s="70">
        <v>0.0</v>
      </c>
      <c r="E49" s="70">
        <f t="shared" si="2"/>
        <v>0</v>
      </c>
      <c r="F49" s="70">
        <v>0.0</v>
      </c>
      <c r="G49" s="71"/>
      <c r="H49" s="72" t="str">
        <f t="shared" si="3"/>
        <v>#DIV/0!</v>
      </c>
      <c r="I49" s="73">
        <v>0.0</v>
      </c>
      <c r="J49" s="70">
        <f t="shared" si="4"/>
        <v>0</v>
      </c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ht="12.75" customHeight="1">
      <c r="A50" s="69"/>
      <c r="B50" s="69"/>
      <c r="C50" s="48">
        <f t="shared" si="1"/>
        <v>0</v>
      </c>
      <c r="D50" s="70">
        <v>0.0</v>
      </c>
      <c r="E50" s="70">
        <f t="shared" si="2"/>
        <v>0</v>
      </c>
      <c r="F50" s="70">
        <v>0.0</v>
      </c>
      <c r="G50" s="71"/>
      <c r="H50" s="72" t="str">
        <f t="shared" si="3"/>
        <v>#DIV/0!</v>
      </c>
      <c r="I50" s="73">
        <v>0.0</v>
      </c>
      <c r="J50" s="70">
        <f t="shared" si="4"/>
        <v>0</v>
      </c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ht="12.75" customHeight="1">
      <c r="A51" s="69"/>
      <c r="B51" s="69"/>
      <c r="C51" s="48">
        <f t="shared" si="1"/>
        <v>0</v>
      </c>
      <c r="D51" s="70">
        <v>0.0</v>
      </c>
      <c r="E51" s="70">
        <f t="shared" si="2"/>
        <v>0</v>
      </c>
      <c r="F51" s="70">
        <v>0.0</v>
      </c>
      <c r="G51" s="71"/>
      <c r="H51" s="72" t="str">
        <f t="shared" si="3"/>
        <v>#DIV/0!</v>
      </c>
      <c r="I51" s="73">
        <v>0.0</v>
      </c>
      <c r="J51" s="70">
        <f t="shared" si="4"/>
        <v>0</v>
      </c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ht="12.75" customHeight="1">
      <c r="A52" s="69"/>
      <c r="B52" s="69"/>
      <c r="C52" s="48">
        <f t="shared" si="1"/>
        <v>0</v>
      </c>
      <c r="D52" s="70">
        <v>0.0</v>
      </c>
      <c r="E52" s="70">
        <f t="shared" si="2"/>
        <v>0</v>
      </c>
      <c r="F52" s="70">
        <v>0.0</v>
      </c>
      <c r="G52" s="71"/>
      <c r="H52" s="72" t="str">
        <f t="shared" si="3"/>
        <v>#DIV/0!</v>
      </c>
      <c r="I52" s="73">
        <v>0.0</v>
      </c>
      <c r="J52" s="70">
        <f t="shared" si="4"/>
        <v>0</v>
      </c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ht="12.75" customHeight="1">
      <c r="A53" s="69"/>
      <c r="B53" s="69"/>
      <c r="C53" s="48">
        <f t="shared" si="1"/>
        <v>0</v>
      </c>
      <c r="D53" s="70">
        <v>0.0</v>
      </c>
      <c r="E53" s="70">
        <f t="shared" si="2"/>
        <v>0</v>
      </c>
      <c r="F53" s="70">
        <v>0.0</v>
      </c>
      <c r="G53" s="71"/>
      <c r="H53" s="72" t="str">
        <f t="shared" si="3"/>
        <v>#DIV/0!</v>
      </c>
      <c r="I53" s="73">
        <v>0.0</v>
      </c>
      <c r="J53" s="70">
        <f t="shared" si="4"/>
        <v>0</v>
      </c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ht="12.75" customHeight="1">
      <c r="A54" s="69"/>
      <c r="B54" s="69"/>
      <c r="C54" s="48">
        <f t="shared" si="1"/>
        <v>0</v>
      </c>
      <c r="D54" s="70">
        <v>0.0</v>
      </c>
      <c r="E54" s="70">
        <f t="shared" si="2"/>
        <v>0</v>
      </c>
      <c r="F54" s="70">
        <v>0.0</v>
      </c>
      <c r="G54" s="71"/>
      <c r="H54" s="72" t="str">
        <f t="shared" si="3"/>
        <v>#DIV/0!</v>
      </c>
      <c r="I54" s="73">
        <v>0.0</v>
      </c>
      <c r="J54" s="70">
        <f t="shared" si="4"/>
        <v>0</v>
      </c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ht="12.75" customHeight="1">
      <c r="A55" s="19"/>
      <c r="C55" s="37"/>
      <c r="E55" s="37"/>
      <c r="G55" s="19"/>
      <c r="H55" s="38"/>
    </row>
    <row r="56" ht="12.75" customHeight="1">
      <c r="A56" s="19"/>
      <c r="C56" s="37"/>
      <c r="E56" s="37"/>
      <c r="G56" s="19"/>
      <c r="H56" s="38"/>
    </row>
    <row r="57" ht="12.75" customHeight="1">
      <c r="A57" s="19"/>
      <c r="C57" s="37"/>
      <c r="E57" s="37"/>
      <c r="G57" s="19"/>
      <c r="H57" s="38"/>
    </row>
    <row r="58" ht="12.75" customHeight="1">
      <c r="A58" s="19"/>
      <c r="C58" s="37"/>
      <c r="E58" s="37"/>
      <c r="G58" s="19"/>
      <c r="H58" s="38"/>
    </row>
    <row r="59" ht="12.75" customHeight="1">
      <c r="A59" s="19"/>
      <c r="C59" s="37"/>
      <c r="E59" s="37"/>
      <c r="G59" s="19"/>
      <c r="H59" s="38"/>
    </row>
    <row r="60" ht="12.75" customHeight="1">
      <c r="A60" s="19"/>
      <c r="C60" s="37"/>
      <c r="E60" s="37"/>
      <c r="G60" s="19"/>
      <c r="H60" s="38"/>
    </row>
    <row r="61" ht="12.75" customHeight="1">
      <c r="A61" s="19"/>
      <c r="C61" s="37"/>
      <c r="E61" s="37"/>
      <c r="G61" s="19"/>
      <c r="H61" s="38"/>
    </row>
    <row r="62" ht="12.75" customHeight="1">
      <c r="A62" s="19"/>
      <c r="C62" s="37"/>
      <c r="E62" s="37"/>
      <c r="G62" s="19"/>
      <c r="H62" s="38"/>
    </row>
    <row r="63" ht="12.75" customHeight="1">
      <c r="A63" s="19"/>
      <c r="C63" s="37"/>
      <c r="E63" s="37"/>
      <c r="G63" s="19"/>
      <c r="H63" s="38"/>
    </row>
    <row r="64" ht="12.75" customHeight="1">
      <c r="A64" s="19"/>
      <c r="C64" s="37"/>
      <c r="E64" s="37"/>
      <c r="G64" s="19"/>
      <c r="H64" s="38"/>
    </row>
    <row r="65" ht="12.75" customHeight="1">
      <c r="A65" s="19"/>
      <c r="C65" s="37"/>
      <c r="E65" s="37"/>
      <c r="G65" s="19"/>
      <c r="H65" s="38"/>
    </row>
    <row r="66" ht="12.75" customHeight="1">
      <c r="A66" s="19"/>
      <c r="C66" s="37"/>
      <c r="E66" s="37"/>
      <c r="G66" s="19"/>
      <c r="H66" s="38"/>
    </row>
    <row r="67" ht="12.75" customHeight="1">
      <c r="A67" s="19"/>
      <c r="C67" s="37"/>
      <c r="E67" s="37"/>
      <c r="G67" s="19"/>
      <c r="H67" s="38"/>
    </row>
    <row r="68" ht="12.75" customHeight="1">
      <c r="A68" s="19"/>
      <c r="C68" s="37"/>
      <c r="E68" s="37"/>
      <c r="G68" s="19"/>
      <c r="H68" s="38"/>
    </row>
    <row r="69" ht="12.75" customHeight="1">
      <c r="A69" s="19"/>
      <c r="C69" s="37"/>
      <c r="E69" s="37"/>
      <c r="G69" s="19"/>
      <c r="H69" s="38"/>
    </row>
    <row r="70" ht="12.75" customHeight="1">
      <c r="A70" s="19"/>
      <c r="C70" s="37"/>
      <c r="E70" s="37"/>
      <c r="G70" s="19"/>
      <c r="H70" s="38"/>
    </row>
    <row r="71" ht="12.75" customHeight="1">
      <c r="A71" s="19"/>
      <c r="C71" s="37"/>
      <c r="E71" s="37"/>
      <c r="G71" s="19"/>
      <c r="H71" s="38"/>
    </row>
    <row r="72" ht="12.75" customHeight="1">
      <c r="A72" s="19"/>
      <c r="C72" s="37"/>
      <c r="E72" s="37"/>
      <c r="G72" s="19"/>
      <c r="H72" s="38"/>
    </row>
    <row r="73" ht="12.75" customHeight="1">
      <c r="A73" s="19"/>
      <c r="C73" s="37"/>
      <c r="E73" s="37"/>
      <c r="G73" s="19"/>
      <c r="H73" s="38"/>
    </row>
    <row r="74" ht="12.75" customHeight="1">
      <c r="A74" s="19"/>
      <c r="C74" s="37"/>
      <c r="E74" s="37"/>
      <c r="G74" s="19"/>
      <c r="H74" s="38"/>
    </row>
    <row r="75" ht="12.75" customHeight="1">
      <c r="A75" s="19"/>
      <c r="C75" s="37"/>
      <c r="E75" s="37"/>
      <c r="G75" s="19"/>
      <c r="H75" s="38"/>
    </row>
    <row r="76" ht="12.75" customHeight="1">
      <c r="A76" s="19"/>
      <c r="C76" s="37"/>
      <c r="E76" s="37"/>
      <c r="G76" s="19"/>
      <c r="H76" s="38"/>
    </row>
    <row r="77" ht="12.75" customHeight="1">
      <c r="A77" s="19"/>
      <c r="C77" s="37"/>
      <c r="E77" s="37"/>
      <c r="G77" s="19"/>
      <c r="H77" s="38"/>
    </row>
    <row r="78" ht="12.75" customHeight="1">
      <c r="A78" s="19"/>
      <c r="C78" s="37"/>
      <c r="E78" s="37"/>
      <c r="G78" s="19"/>
      <c r="H78" s="38"/>
    </row>
    <row r="79" ht="12.75" customHeight="1">
      <c r="A79" s="19"/>
      <c r="C79" s="37"/>
      <c r="E79" s="37"/>
      <c r="G79" s="19"/>
      <c r="H79" s="38"/>
    </row>
    <row r="80" ht="12.75" customHeight="1">
      <c r="A80" s="19"/>
      <c r="C80" s="37"/>
      <c r="E80" s="37"/>
      <c r="G80" s="19"/>
      <c r="H80" s="38"/>
    </row>
    <row r="81" ht="12.75" customHeight="1">
      <c r="A81" s="19"/>
      <c r="C81" s="37"/>
      <c r="E81" s="37"/>
      <c r="G81" s="19"/>
      <c r="H81" s="38"/>
    </row>
    <row r="82" ht="12.75" customHeight="1">
      <c r="A82" s="19"/>
      <c r="C82" s="37"/>
      <c r="E82" s="37"/>
      <c r="G82" s="19"/>
      <c r="H82" s="38"/>
    </row>
    <row r="83" ht="12.75" customHeight="1">
      <c r="A83" s="19"/>
      <c r="C83" s="37"/>
      <c r="E83" s="37"/>
      <c r="G83" s="19"/>
      <c r="H83" s="38"/>
    </row>
    <row r="84" ht="12.75" customHeight="1">
      <c r="A84" s="19"/>
      <c r="C84" s="37"/>
      <c r="E84" s="37"/>
      <c r="G84" s="19"/>
      <c r="H84" s="38"/>
    </row>
    <row r="85" ht="12.75" customHeight="1">
      <c r="A85" s="19"/>
      <c r="C85" s="37"/>
      <c r="E85" s="37"/>
      <c r="G85" s="19"/>
      <c r="H85" s="38"/>
    </row>
    <row r="86" ht="12.75" customHeight="1">
      <c r="A86" s="19"/>
      <c r="C86" s="37"/>
      <c r="E86" s="37"/>
      <c r="G86" s="19"/>
      <c r="H86" s="38"/>
    </row>
    <row r="87" ht="12.75" customHeight="1">
      <c r="A87" s="19"/>
      <c r="C87" s="37"/>
      <c r="E87" s="37"/>
      <c r="G87" s="19"/>
      <c r="H87" s="38"/>
    </row>
    <row r="88" ht="12.75" customHeight="1">
      <c r="A88" s="19"/>
      <c r="C88" s="37"/>
      <c r="E88" s="37"/>
      <c r="G88" s="19"/>
      <c r="H88" s="38"/>
    </row>
    <row r="89" ht="12.75" customHeight="1">
      <c r="A89" s="19"/>
      <c r="C89" s="37"/>
      <c r="E89" s="37"/>
      <c r="G89" s="19"/>
      <c r="H89" s="38"/>
    </row>
    <row r="90" ht="12.75" customHeight="1">
      <c r="A90" s="19"/>
      <c r="C90" s="37"/>
      <c r="E90" s="37"/>
      <c r="G90" s="19"/>
      <c r="H90" s="38"/>
    </row>
    <row r="91" ht="12.75" customHeight="1">
      <c r="A91" s="19"/>
      <c r="C91" s="37"/>
      <c r="E91" s="37"/>
      <c r="G91" s="19"/>
      <c r="H91" s="38"/>
    </row>
    <row r="92" ht="12.75" customHeight="1">
      <c r="A92" s="19"/>
      <c r="C92" s="37"/>
      <c r="E92" s="37"/>
      <c r="G92" s="19"/>
      <c r="H92" s="38"/>
    </row>
    <row r="93" ht="12.75" customHeight="1">
      <c r="A93" s="19"/>
      <c r="C93" s="37"/>
      <c r="E93" s="37"/>
      <c r="G93" s="19"/>
      <c r="H93" s="38"/>
    </row>
    <row r="94" ht="12.75" customHeight="1">
      <c r="A94" s="19"/>
      <c r="C94" s="37"/>
      <c r="E94" s="37"/>
      <c r="G94" s="19"/>
      <c r="H94" s="38"/>
    </row>
    <row r="95" ht="12.75" customHeight="1">
      <c r="A95" s="19"/>
      <c r="C95" s="37"/>
      <c r="E95" s="37"/>
      <c r="G95" s="19"/>
      <c r="H95" s="38"/>
    </row>
    <row r="96" ht="12.75" customHeight="1">
      <c r="A96" s="19"/>
      <c r="C96" s="37"/>
      <c r="E96" s="37"/>
      <c r="G96" s="19"/>
      <c r="H96" s="38"/>
    </row>
    <row r="97" ht="12.75" customHeight="1">
      <c r="A97" s="19"/>
      <c r="C97" s="37"/>
      <c r="E97" s="37"/>
      <c r="G97" s="19"/>
      <c r="H97" s="38"/>
    </row>
    <row r="98" ht="12.75" customHeight="1">
      <c r="A98" s="19"/>
      <c r="C98" s="37"/>
      <c r="E98" s="37"/>
      <c r="G98" s="19"/>
      <c r="H98" s="38"/>
    </row>
    <row r="99" ht="12.75" customHeight="1">
      <c r="A99" s="19"/>
      <c r="C99" s="37"/>
      <c r="E99" s="37"/>
      <c r="G99" s="19"/>
      <c r="H99" s="38"/>
    </row>
    <row r="100" ht="12.75" customHeight="1">
      <c r="A100" s="19"/>
      <c r="C100" s="37"/>
      <c r="E100" s="37"/>
      <c r="G100" s="19"/>
      <c r="H100" s="38"/>
    </row>
    <row r="101" ht="12.75" customHeight="1">
      <c r="A101" s="19"/>
      <c r="C101" s="37"/>
      <c r="E101" s="37"/>
      <c r="G101" s="19"/>
      <c r="H101" s="38"/>
    </row>
    <row r="102" ht="12.75" customHeight="1">
      <c r="A102" s="19"/>
      <c r="C102" s="37"/>
      <c r="E102" s="37"/>
      <c r="G102" s="19"/>
      <c r="H102" s="38"/>
    </row>
    <row r="103" ht="12.75" customHeight="1">
      <c r="A103" s="19"/>
      <c r="C103" s="37"/>
      <c r="E103" s="37"/>
      <c r="G103" s="19"/>
      <c r="H103" s="38"/>
    </row>
    <row r="104" ht="12.75" customHeight="1">
      <c r="A104" s="19"/>
      <c r="C104" s="37"/>
      <c r="E104" s="37"/>
      <c r="G104" s="19"/>
      <c r="H104" s="38"/>
    </row>
    <row r="105" ht="12.75" customHeight="1">
      <c r="A105" s="19"/>
      <c r="C105" s="37"/>
      <c r="E105" s="37"/>
      <c r="G105" s="19"/>
      <c r="H105" s="38"/>
    </row>
    <row r="106" ht="12.75" customHeight="1">
      <c r="A106" s="19"/>
      <c r="C106" s="37"/>
      <c r="E106" s="37"/>
      <c r="G106" s="19"/>
      <c r="H106" s="38"/>
    </row>
    <row r="107" ht="12.75" customHeight="1">
      <c r="A107" s="19"/>
      <c r="C107" s="37"/>
      <c r="E107" s="37"/>
      <c r="G107" s="19"/>
      <c r="H107" s="38"/>
    </row>
    <row r="108" ht="12.75" customHeight="1">
      <c r="A108" s="19"/>
      <c r="C108" s="37"/>
      <c r="E108" s="37"/>
      <c r="G108" s="19"/>
      <c r="H108" s="38"/>
    </row>
    <row r="109" ht="12.75" customHeight="1">
      <c r="A109" s="19"/>
      <c r="C109" s="37"/>
      <c r="E109" s="37"/>
      <c r="G109" s="19"/>
      <c r="H109" s="38"/>
    </row>
    <row r="110" ht="12.75" customHeight="1">
      <c r="A110" s="19"/>
      <c r="C110" s="37"/>
      <c r="E110" s="37"/>
      <c r="G110" s="19"/>
      <c r="H110" s="38"/>
    </row>
    <row r="111" ht="12.75" customHeight="1">
      <c r="A111" s="19"/>
      <c r="C111" s="37"/>
      <c r="E111" s="37"/>
      <c r="G111" s="19"/>
      <c r="H111" s="38"/>
    </row>
    <row r="112" ht="12.75" customHeight="1">
      <c r="A112" s="19"/>
      <c r="C112" s="37"/>
      <c r="E112" s="37"/>
      <c r="G112" s="19"/>
      <c r="H112" s="38"/>
    </row>
    <row r="113" ht="12.75" customHeight="1">
      <c r="A113" s="19"/>
      <c r="C113" s="37"/>
      <c r="E113" s="37"/>
      <c r="G113" s="19"/>
      <c r="H113" s="38"/>
    </row>
    <row r="114" ht="12.75" customHeight="1">
      <c r="A114" s="19"/>
      <c r="C114" s="37"/>
      <c r="E114" s="37"/>
      <c r="G114" s="19"/>
      <c r="H114" s="38"/>
    </row>
    <row r="115" ht="12.75" customHeight="1">
      <c r="A115" s="19"/>
      <c r="C115" s="37"/>
      <c r="E115" s="37"/>
      <c r="G115" s="19"/>
      <c r="H115" s="38"/>
    </row>
    <row r="116" ht="12.75" customHeight="1">
      <c r="A116" s="19"/>
      <c r="C116" s="37"/>
      <c r="E116" s="37"/>
      <c r="G116" s="19"/>
      <c r="H116" s="38"/>
    </row>
    <row r="117" ht="12.75" customHeight="1">
      <c r="A117" s="19"/>
      <c r="C117" s="37"/>
      <c r="E117" s="37"/>
      <c r="G117" s="19"/>
      <c r="H117" s="38"/>
    </row>
    <row r="118" ht="12.75" customHeight="1">
      <c r="A118" s="19"/>
      <c r="C118" s="37"/>
      <c r="E118" s="37"/>
      <c r="G118" s="19"/>
      <c r="H118" s="38"/>
    </row>
    <row r="119" ht="12.75" customHeight="1">
      <c r="A119" s="19"/>
      <c r="C119" s="37"/>
      <c r="E119" s="37"/>
      <c r="G119" s="19"/>
      <c r="H119" s="38"/>
    </row>
    <row r="120" ht="12.75" customHeight="1">
      <c r="A120" s="19"/>
      <c r="C120" s="37"/>
      <c r="E120" s="37"/>
      <c r="G120" s="19"/>
      <c r="H120" s="38"/>
    </row>
    <row r="121" ht="12.75" customHeight="1">
      <c r="A121" s="19"/>
      <c r="C121" s="37"/>
      <c r="E121" s="37"/>
      <c r="G121" s="19"/>
      <c r="H121" s="38"/>
    </row>
    <row r="122" ht="12.75" customHeight="1">
      <c r="A122" s="19"/>
      <c r="C122" s="37"/>
      <c r="E122" s="37"/>
      <c r="G122" s="19"/>
      <c r="H122" s="38"/>
    </row>
    <row r="123" ht="12.75" customHeight="1">
      <c r="A123" s="19"/>
      <c r="C123" s="37"/>
      <c r="E123" s="37"/>
      <c r="G123" s="19"/>
      <c r="H123" s="38"/>
    </row>
    <row r="124" ht="12.75" customHeight="1">
      <c r="A124" s="19"/>
      <c r="C124" s="37"/>
      <c r="E124" s="37"/>
      <c r="G124" s="19"/>
      <c r="H124" s="38"/>
    </row>
    <row r="125" ht="12.75" customHeight="1">
      <c r="A125" s="19"/>
      <c r="C125" s="37"/>
      <c r="E125" s="37"/>
      <c r="G125" s="19"/>
      <c r="H125" s="38"/>
    </row>
    <row r="126" ht="12.75" customHeight="1">
      <c r="A126" s="19"/>
      <c r="C126" s="37"/>
      <c r="E126" s="37"/>
      <c r="G126" s="19"/>
      <c r="H126" s="38"/>
    </row>
    <row r="127" ht="12.75" customHeight="1">
      <c r="A127" s="19"/>
      <c r="C127" s="37"/>
      <c r="E127" s="37"/>
      <c r="G127" s="19"/>
      <c r="H127" s="38"/>
    </row>
    <row r="128" ht="12.75" customHeight="1">
      <c r="A128" s="19"/>
      <c r="C128" s="37"/>
      <c r="E128" s="37"/>
      <c r="G128" s="19"/>
      <c r="H128" s="38"/>
    </row>
    <row r="129" ht="12.75" customHeight="1">
      <c r="A129" s="19"/>
      <c r="C129" s="37"/>
      <c r="E129" s="37"/>
      <c r="G129" s="19"/>
      <c r="H129" s="38"/>
    </row>
    <row r="130" ht="12.75" customHeight="1">
      <c r="A130" s="19"/>
      <c r="C130" s="37"/>
      <c r="E130" s="37"/>
      <c r="G130" s="19"/>
      <c r="H130" s="38"/>
    </row>
    <row r="131" ht="12.75" customHeight="1">
      <c r="A131" s="19"/>
      <c r="C131" s="37"/>
      <c r="E131" s="37"/>
      <c r="G131" s="19"/>
      <c r="H131" s="38"/>
    </row>
    <row r="132" ht="12.75" customHeight="1">
      <c r="A132" s="19"/>
      <c r="C132" s="37"/>
      <c r="E132" s="37"/>
      <c r="G132" s="19"/>
      <c r="H132" s="38"/>
    </row>
    <row r="133" ht="12.75" customHeight="1">
      <c r="A133" s="19"/>
      <c r="C133" s="37"/>
      <c r="E133" s="37"/>
      <c r="G133" s="19"/>
      <c r="H133" s="38"/>
    </row>
    <row r="134" ht="12.75" customHeight="1">
      <c r="A134" s="19"/>
      <c r="C134" s="37"/>
      <c r="E134" s="37"/>
      <c r="G134" s="19"/>
      <c r="H134" s="38"/>
    </row>
    <row r="135" ht="12.75" customHeight="1">
      <c r="A135" s="19"/>
      <c r="C135" s="37"/>
      <c r="E135" s="37"/>
      <c r="G135" s="19"/>
      <c r="H135" s="38"/>
    </row>
    <row r="136" ht="12.75" customHeight="1">
      <c r="A136" s="19"/>
      <c r="C136" s="37"/>
      <c r="E136" s="37"/>
      <c r="G136" s="19"/>
      <c r="H136" s="38"/>
    </row>
    <row r="137" ht="12.75" customHeight="1">
      <c r="A137" s="19"/>
      <c r="C137" s="37"/>
      <c r="E137" s="37"/>
      <c r="G137" s="19"/>
      <c r="H137" s="38"/>
    </row>
    <row r="138" ht="12.75" customHeight="1">
      <c r="A138" s="19"/>
      <c r="C138" s="37"/>
      <c r="E138" s="37"/>
      <c r="G138" s="19"/>
      <c r="H138" s="38"/>
    </row>
    <row r="139" ht="12.75" customHeight="1">
      <c r="A139" s="19"/>
      <c r="C139" s="37"/>
      <c r="E139" s="37"/>
      <c r="G139" s="19"/>
      <c r="H139" s="38"/>
    </row>
    <row r="140" ht="12.75" customHeight="1">
      <c r="A140" s="19"/>
      <c r="C140" s="37"/>
      <c r="E140" s="37"/>
      <c r="G140" s="19"/>
      <c r="H140" s="38"/>
    </row>
    <row r="141" ht="12.75" customHeight="1">
      <c r="A141" s="19"/>
      <c r="C141" s="37"/>
      <c r="E141" s="37"/>
      <c r="G141" s="19"/>
      <c r="H141" s="38"/>
    </row>
    <row r="142" ht="12.75" customHeight="1">
      <c r="A142" s="19"/>
      <c r="C142" s="37"/>
      <c r="E142" s="37"/>
      <c r="G142" s="19"/>
      <c r="H142" s="38"/>
    </row>
    <row r="143" ht="12.75" customHeight="1">
      <c r="A143" s="19"/>
      <c r="C143" s="37"/>
      <c r="E143" s="37"/>
      <c r="G143" s="19"/>
      <c r="H143" s="38"/>
    </row>
    <row r="144" ht="12.75" customHeight="1">
      <c r="A144" s="19"/>
      <c r="C144" s="37"/>
      <c r="E144" s="37"/>
      <c r="G144" s="19"/>
      <c r="H144" s="38"/>
    </row>
    <row r="145" ht="12.75" customHeight="1">
      <c r="A145" s="19"/>
      <c r="C145" s="37"/>
      <c r="E145" s="37"/>
      <c r="G145" s="19"/>
      <c r="H145" s="38"/>
    </row>
    <row r="146" ht="12.75" customHeight="1">
      <c r="A146" s="19"/>
      <c r="C146" s="37"/>
      <c r="E146" s="37"/>
      <c r="G146" s="19"/>
      <c r="H146" s="38"/>
    </row>
    <row r="147" ht="12.75" customHeight="1">
      <c r="A147" s="19"/>
      <c r="C147" s="37"/>
      <c r="E147" s="37"/>
      <c r="G147" s="19"/>
      <c r="H147" s="38"/>
    </row>
    <row r="148" ht="12.75" customHeight="1">
      <c r="A148" s="19"/>
      <c r="C148" s="37"/>
      <c r="E148" s="37"/>
      <c r="G148" s="19"/>
      <c r="H148" s="38"/>
    </row>
    <row r="149" ht="12.75" customHeight="1">
      <c r="A149" s="19"/>
      <c r="C149" s="37"/>
      <c r="E149" s="37"/>
      <c r="G149" s="19"/>
      <c r="H149" s="38"/>
    </row>
    <row r="150" ht="12.75" customHeight="1">
      <c r="A150" s="19"/>
      <c r="C150" s="37"/>
      <c r="E150" s="37"/>
      <c r="G150" s="19"/>
      <c r="H150" s="38"/>
    </row>
    <row r="151" ht="12.75" customHeight="1">
      <c r="A151" s="19"/>
      <c r="C151" s="37"/>
      <c r="E151" s="37"/>
      <c r="G151" s="19"/>
      <c r="H151" s="38"/>
    </row>
    <row r="152" ht="12.75" customHeight="1">
      <c r="A152" s="19"/>
      <c r="C152" s="37"/>
      <c r="E152" s="37"/>
      <c r="G152" s="19"/>
      <c r="H152" s="38"/>
    </row>
    <row r="153" ht="12.75" customHeight="1">
      <c r="A153" s="19"/>
      <c r="C153" s="37"/>
      <c r="E153" s="37"/>
      <c r="G153" s="19"/>
      <c r="H153" s="38"/>
    </row>
    <row r="154" ht="12.75" customHeight="1">
      <c r="A154" s="19"/>
      <c r="C154" s="37"/>
      <c r="E154" s="37"/>
      <c r="G154" s="19"/>
      <c r="H154" s="38"/>
    </row>
    <row r="155" ht="12.75" customHeight="1">
      <c r="A155" s="19"/>
      <c r="C155" s="37"/>
      <c r="E155" s="37"/>
      <c r="G155" s="19"/>
      <c r="H155" s="38"/>
    </row>
    <row r="156" ht="12.75" customHeight="1">
      <c r="A156" s="19"/>
      <c r="C156" s="37"/>
      <c r="E156" s="37"/>
      <c r="G156" s="19"/>
      <c r="H156" s="38"/>
    </row>
    <row r="157" ht="12.75" customHeight="1">
      <c r="A157" s="19"/>
      <c r="C157" s="37"/>
      <c r="E157" s="37"/>
      <c r="G157" s="19"/>
      <c r="H157" s="38"/>
    </row>
    <row r="158" ht="12.75" customHeight="1">
      <c r="A158" s="19"/>
      <c r="C158" s="37"/>
      <c r="E158" s="37"/>
      <c r="G158" s="19"/>
      <c r="H158" s="38"/>
    </row>
    <row r="159" ht="12.75" customHeight="1">
      <c r="A159" s="19"/>
      <c r="C159" s="37"/>
      <c r="E159" s="37"/>
      <c r="G159" s="19"/>
      <c r="H159" s="38"/>
    </row>
    <row r="160" ht="12.75" customHeight="1">
      <c r="A160" s="19"/>
      <c r="C160" s="37"/>
      <c r="E160" s="37"/>
      <c r="G160" s="19"/>
      <c r="H160" s="38"/>
    </row>
    <row r="161" ht="12.75" customHeight="1">
      <c r="A161" s="19"/>
      <c r="C161" s="37"/>
      <c r="E161" s="37"/>
      <c r="G161" s="19"/>
      <c r="H161" s="38"/>
    </row>
    <row r="162" ht="12.75" customHeight="1">
      <c r="A162" s="19"/>
      <c r="C162" s="37"/>
      <c r="E162" s="37"/>
      <c r="G162" s="19"/>
      <c r="H162" s="38"/>
    </row>
    <row r="163" ht="12.75" customHeight="1">
      <c r="A163" s="19"/>
      <c r="C163" s="37"/>
      <c r="E163" s="37"/>
      <c r="G163" s="19"/>
      <c r="H163" s="38"/>
    </row>
    <row r="164" ht="12.75" customHeight="1">
      <c r="A164" s="19"/>
      <c r="C164" s="37"/>
      <c r="E164" s="37"/>
      <c r="G164" s="19"/>
      <c r="H164" s="38"/>
    </row>
    <row r="165" ht="12.75" customHeight="1">
      <c r="A165" s="19"/>
      <c r="C165" s="37"/>
      <c r="E165" s="37"/>
      <c r="G165" s="19"/>
      <c r="H165" s="38"/>
    </row>
    <row r="166" ht="12.75" customHeight="1">
      <c r="A166" s="19"/>
      <c r="C166" s="37"/>
      <c r="E166" s="37"/>
      <c r="G166" s="19"/>
      <c r="H166" s="38"/>
    </row>
    <row r="167" ht="12.75" customHeight="1">
      <c r="A167" s="19"/>
      <c r="C167" s="37"/>
      <c r="E167" s="37"/>
      <c r="G167" s="19"/>
      <c r="H167" s="38"/>
    </row>
    <row r="168" ht="12.75" customHeight="1">
      <c r="A168" s="19"/>
      <c r="C168" s="37"/>
      <c r="E168" s="37"/>
      <c r="G168" s="19"/>
      <c r="H168" s="38"/>
    </row>
    <row r="169" ht="12.75" customHeight="1">
      <c r="A169" s="19"/>
      <c r="C169" s="37"/>
      <c r="E169" s="37"/>
      <c r="G169" s="19"/>
      <c r="H169" s="38"/>
    </row>
    <row r="170" ht="12.75" customHeight="1">
      <c r="A170" s="19"/>
      <c r="C170" s="37"/>
      <c r="E170" s="37"/>
      <c r="G170" s="19"/>
      <c r="H170" s="38"/>
    </row>
    <row r="171" ht="12.75" customHeight="1">
      <c r="A171" s="19"/>
      <c r="C171" s="37"/>
      <c r="E171" s="37"/>
      <c r="G171" s="19"/>
      <c r="H171" s="38"/>
    </row>
    <row r="172" ht="12.75" customHeight="1">
      <c r="A172" s="19"/>
      <c r="C172" s="37"/>
      <c r="E172" s="37"/>
      <c r="G172" s="19"/>
      <c r="H172" s="38"/>
    </row>
    <row r="173" ht="12.75" customHeight="1">
      <c r="A173" s="19"/>
      <c r="C173" s="37"/>
      <c r="E173" s="37"/>
      <c r="G173" s="19"/>
      <c r="H173" s="38"/>
    </row>
    <row r="174" ht="12.75" customHeight="1">
      <c r="A174" s="19"/>
      <c r="C174" s="37"/>
      <c r="E174" s="37"/>
      <c r="G174" s="19"/>
      <c r="H174" s="38"/>
    </row>
    <row r="175" ht="12.75" customHeight="1">
      <c r="A175" s="19"/>
      <c r="C175" s="37"/>
      <c r="E175" s="37"/>
      <c r="G175" s="19"/>
      <c r="H175" s="38"/>
    </row>
    <row r="176" ht="12.75" customHeight="1">
      <c r="A176" s="19"/>
      <c r="C176" s="37"/>
      <c r="E176" s="37"/>
      <c r="G176" s="19"/>
      <c r="H176" s="38"/>
    </row>
    <row r="177" ht="12.75" customHeight="1">
      <c r="A177" s="19"/>
      <c r="C177" s="37"/>
      <c r="E177" s="37"/>
      <c r="G177" s="19"/>
      <c r="H177" s="38"/>
    </row>
    <row r="178" ht="12.75" customHeight="1">
      <c r="A178" s="19"/>
      <c r="C178" s="37"/>
      <c r="E178" s="37"/>
      <c r="G178" s="19"/>
      <c r="H178" s="38"/>
    </row>
    <row r="179" ht="12.75" customHeight="1">
      <c r="A179" s="19"/>
      <c r="C179" s="37"/>
      <c r="E179" s="37"/>
      <c r="G179" s="19"/>
      <c r="H179" s="38"/>
    </row>
    <row r="180" ht="12.75" customHeight="1">
      <c r="A180" s="19"/>
      <c r="C180" s="37"/>
      <c r="E180" s="37"/>
      <c r="G180" s="19"/>
      <c r="H180" s="38"/>
    </row>
    <row r="181" ht="12.75" customHeight="1">
      <c r="A181" s="19"/>
      <c r="C181" s="37"/>
      <c r="E181" s="37"/>
      <c r="G181" s="19"/>
      <c r="H181" s="38"/>
    </row>
    <row r="182" ht="12.75" customHeight="1">
      <c r="A182" s="19"/>
      <c r="C182" s="37"/>
      <c r="E182" s="37"/>
      <c r="G182" s="19"/>
      <c r="H182" s="38"/>
    </row>
    <row r="183" ht="12.75" customHeight="1">
      <c r="A183" s="19"/>
      <c r="C183" s="37"/>
      <c r="E183" s="37"/>
      <c r="G183" s="19"/>
      <c r="H183" s="38"/>
    </row>
    <row r="184" ht="12.75" customHeight="1">
      <c r="A184" s="19"/>
      <c r="C184" s="37"/>
      <c r="E184" s="37"/>
      <c r="G184" s="19"/>
      <c r="H184" s="38"/>
    </row>
    <row r="185" ht="12.75" customHeight="1">
      <c r="A185" s="19"/>
      <c r="C185" s="37"/>
      <c r="E185" s="37"/>
      <c r="G185" s="19"/>
      <c r="H185" s="38"/>
    </row>
    <row r="186" ht="12.75" customHeight="1">
      <c r="A186" s="19"/>
      <c r="C186" s="37"/>
      <c r="E186" s="37"/>
      <c r="G186" s="19"/>
      <c r="H186" s="38"/>
    </row>
    <row r="187" ht="12.75" customHeight="1">
      <c r="A187" s="19"/>
      <c r="C187" s="37"/>
      <c r="E187" s="37"/>
      <c r="G187" s="19"/>
      <c r="H187" s="38"/>
    </row>
    <row r="188" ht="12.75" customHeight="1">
      <c r="A188" s="19"/>
      <c r="C188" s="37"/>
      <c r="E188" s="37"/>
      <c r="G188" s="19"/>
      <c r="H188" s="38"/>
    </row>
    <row r="189" ht="12.75" customHeight="1">
      <c r="A189" s="19"/>
      <c r="C189" s="37"/>
      <c r="E189" s="37"/>
      <c r="G189" s="19"/>
      <c r="H189" s="38"/>
    </row>
    <row r="190" ht="12.75" customHeight="1">
      <c r="A190" s="19"/>
      <c r="C190" s="37"/>
      <c r="E190" s="37"/>
      <c r="G190" s="19"/>
      <c r="H190" s="38"/>
    </row>
    <row r="191" ht="12.75" customHeight="1">
      <c r="A191" s="19"/>
      <c r="C191" s="37"/>
      <c r="E191" s="37"/>
      <c r="G191" s="19"/>
      <c r="H191" s="38"/>
    </row>
    <row r="192" ht="12.75" customHeight="1">
      <c r="A192" s="19"/>
      <c r="C192" s="37"/>
      <c r="E192" s="37"/>
      <c r="G192" s="19"/>
      <c r="H192" s="38"/>
    </row>
    <row r="193" ht="12.75" customHeight="1">
      <c r="A193" s="19"/>
      <c r="C193" s="37"/>
      <c r="E193" s="37"/>
      <c r="G193" s="19"/>
      <c r="H193" s="38"/>
    </row>
    <row r="194" ht="12.75" customHeight="1">
      <c r="A194" s="19"/>
      <c r="C194" s="37"/>
      <c r="E194" s="37"/>
      <c r="G194" s="19"/>
      <c r="H194" s="38"/>
    </row>
    <row r="195" ht="12.75" customHeight="1">
      <c r="A195" s="19"/>
      <c r="C195" s="37"/>
      <c r="E195" s="37"/>
      <c r="G195" s="19"/>
      <c r="H195" s="38"/>
    </row>
    <row r="196" ht="12.75" customHeight="1">
      <c r="A196" s="19"/>
      <c r="C196" s="37"/>
      <c r="E196" s="37"/>
      <c r="G196" s="19"/>
      <c r="H196" s="38"/>
    </row>
    <row r="197" ht="12.75" customHeight="1">
      <c r="A197" s="19"/>
      <c r="C197" s="37"/>
      <c r="E197" s="37"/>
      <c r="G197" s="19"/>
      <c r="H197" s="38"/>
    </row>
    <row r="198" ht="12.75" customHeight="1">
      <c r="A198" s="19"/>
      <c r="C198" s="37"/>
      <c r="E198" s="37"/>
      <c r="G198" s="19"/>
      <c r="H198" s="38"/>
    </row>
    <row r="199" ht="12.75" customHeight="1">
      <c r="A199" s="19"/>
      <c r="C199" s="37"/>
      <c r="E199" s="37"/>
      <c r="G199" s="19"/>
      <c r="H199" s="38"/>
    </row>
    <row r="200" ht="12.75" customHeight="1">
      <c r="A200" s="19"/>
      <c r="C200" s="37"/>
      <c r="E200" s="37"/>
      <c r="G200" s="19"/>
      <c r="H200" s="38"/>
    </row>
    <row r="201" ht="12.75" customHeight="1">
      <c r="A201" s="19"/>
      <c r="C201" s="37"/>
      <c r="E201" s="37"/>
      <c r="G201" s="19"/>
      <c r="H201" s="38"/>
    </row>
    <row r="202" ht="12.75" customHeight="1">
      <c r="A202" s="19"/>
      <c r="C202" s="37"/>
      <c r="E202" s="37"/>
      <c r="G202" s="19"/>
      <c r="H202" s="38"/>
    </row>
    <row r="203" ht="12.75" customHeight="1">
      <c r="A203" s="19"/>
      <c r="C203" s="37"/>
      <c r="E203" s="37"/>
      <c r="G203" s="19"/>
      <c r="H203" s="38"/>
    </row>
    <row r="204" ht="12.75" customHeight="1">
      <c r="A204" s="19"/>
      <c r="C204" s="37"/>
      <c r="E204" s="37"/>
      <c r="G204" s="19"/>
      <c r="H204" s="38"/>
    </row>
    <row r="205" ht="12.75" customHeight="1">
      <c r="A205" s="19"/>
      <c r="C205" s="37"/>
      <c r="E205" s="37"/>
      <c r="G205" s="19"/>
      <c r="H205" s="38"/>
    </row>
    <row r="206" ht="12.75" customHeight="1">
      <c r="A206" s="19"/>
      <c r="C206" s="37"/>
      <c r="E206" s="37"/>
      <c r="G206" s="19"/>
      <c r="H206" s="38"/>
    </row>
    <row r="207" ht="12.75" customHeight="1">
      <c r="A207" s="19"/>
      <c r="C207" s="37"/>
      <c r="E207" s="37"/>
      <c r="G207" s="19"/>
      <c r="H207" s="38"/>
    </row>
    <row r="208" ht="12.75" customHeight="1">
      <c r="A208" s="19"/>
      <c r="C208" s="37"/>
      <c r="E208" s="37"/>
      <c r="G208" s="19"/>
      <c r="H208" s="38"/>
    </row>
    <row r="209" ht="12.75" customHeight="1">
      <c r="A209" s="19"/>
      <c r="C209" s="37"/>
      <c r="E209" s="37"/>
      <c r="G209" s="19"/>
      <c r="H209" s="38"/>
    </row>
    <row r="210" ht="12.75" customHeight="1">
      <c r="A210" s="19"/>
      <c r="C210" s="37"/>
      <c r="E210" s="37"/>
      <c r="G210" s="19"/>
      <c r="H210" s="38"/>
    </row>
    <row r="211" ht="12.75" customHeight="1">
      <c r="A211" s="19"/>
      <c r="C211" s="37"/>
      <c r="E211" s="37"/>
      <c r="G211" s="19"/>
      <c r="H211" s="38"/>
    </row>
    <row r="212" ht="12.75" customHeight="1">
      <c r="A212" s="19"/>
      <c r="C212" s="37"/>
      <c r="E212" s="37"/>
      <c r="G212" s="19"/>
      <c r="H212" s="38"/>
    </row>
    <row r="213" ht="12.75" customHeight="1">
      <c r="A213" s="19"/>
      <c r="C213" s="37"/>
      <c r="E213" s="37"/>
      <c r="G213" s="19"/>
      <c r="H213" s="38"/>
    </row>
    <row r="214" ht="12.75" customHeight="1">
      <c r="A214" s="19"/>
      <c r="C214" s="37"/>
      <c r="E214" s="37"/>
      <c r="G214" s="19"/>
      <c r="H214" s="38"/>
    </row>
    <row r="215" ht="12.75" customHeight="1">
      <c r="A215" s="19"/>
      <c r="C215" s="37"/>
      <c r="E215" s="37"/>
      <c r="G215" s="19"/>
      <c r="H215" s="38"/>
    </row>
    <row r="216" ht="12.75" customHeight="1">
      <c r="A216" s="19"/>
      <c r="C216" s="37"/>
      <c r="E216" s="37"/>
      <c r="G216" s="19"/>
      <c r="H216" s="38"/>
    </row>
    <row r="217" ht="12.75" customHeight="1">
      <c r="A217" s="19"/>
      <c r="C217" s="37"/>
      <c r="E217" s="37"/>
      <c r="G217" s="19"/>
      <c r="H217" s="38"/>
    </row>
    <row r="218" ht="12.75" customHeight="1">
      <c r="A218" s="19"/>
      <c r="C218" s="37"/>
      <c r="E218" s="37"/>
      <c r="G218" s="19"/>
      <c r="H218" s="38"/>
    </row>
    <row r="219" ht="12.75" customHeight="1">
      <c r="A219" s="19"/>
      <c r="C219" s="37"/>
      <c r="E219" s="37"/>
      <c r="G219" s="19"/>
      <c r="H219" s="38"/>
    </row>
    <row r="220" ht="12.75" customHeight="1">
      <c r="A220" s="19"/>
      <c r="C220" s="37"/>
      <c r="E220" s="37"/>
      <c r="G220" s="19"/>
      <c r="H220" s="38"/>
    </row>
    <row r="221" ht="12.75" customHeight="1">
      <c r="A221" s="19"/>
      <c r="C221" s="37"/>
      <c r="E221" s="37"/>
      <c r="G221" s="19"/>
      <c r="H221" s="38"/>
    </row>
    <row r="222" ht="12.75" customHeight="1">
      <c r="A222" s="19"/>
      <c r="C222" s="37"/>
      <c r="E222" s="37"/>
      <c r="G222" s="19"/>
      <c r="H222" s="38"/>
    </row>
    <row r="223" ht="12.75" customHeight="1">
      <c r="A223" s="19"/>
      <c r="C223" s="37"/>
      <c r="E223" s="37"/>
      <c r="G223" s="19"/>
      <c r="H223" s="38"/>
    </row>
    <row r="224" ht="12.75" customHeight="1">
      <c r="A224" s="19"/>
      <c r="C224" s="37"/>
      <c r="E224" s="37"/>
      <c r="G224" s="19"/>
      <c r="H224" s="38"/>
    </row>
    <row r="225" ht="12.75" customHeight="1">
      <c r="A225" s="19"/>
      <c r="C225" s="37"/>
      <c r="E225" s="37"/>
      <c r="G225" s="19"/>
      <c r="H225" s="38"/>
    </row>
    <row r="226" ht="12.75" customHeight="1">
      <c r="A226" s="19"/>
      <c r="C226" s="37"/>
      <c r="E226" s="37"/>
      <c r="G226" s="19"/>
      <c r="H226" s="38"/>
    </row>
    <row r="227" ht="12.75" customHeight="1">
      <c r="A227" s="19"/>
      <c r="C227" s="37"/>
      <c r="E227" s="37"/>
      <c r="G227" s="19"/>
      <c r="H227" s="38"/>
    </row>
    <row r="228" ht="12.75" customHeight="1">
      <c r="A228" s="19"/>
      <c r="C228" s="37"/>
      <c r="E228" s="37"/>
      <c r="G228" s="19"/>
      <c r="H228" s="38"/>
    </row>
    <row r="229" ht="12.75" customHeight="1">
      <c r="A229" s="19"/>
      <c r="C229" s="37"/>
      <c r="E229" s="37"/>
      <c r="G229" s="19"/>
      <c r="H229" s="38"/>
    </row>
    <row r="230" ht="12.75" customHeight="1">
      <c r="A230" s="19"/>
      <c r="C230" s="37"/>
      <c r="E230" s="37"/>
      <c r="G230" s="19"/>
      <c r="H230" s="38"/>
    </row>
    <row r="231" ht="12.75" customHeight="1">
      <c r="A231" s="19"/>
      <c r="C231" s="37"/>
      <c r="E231" s="37"/>
      <c r="G231" s="19"/>
      <c r="H231" s="38"/>
    </row>
    <row r="232" ht="12.75" customHeight="1">
      <c r="A232" s="19"/>
      <c r="C232" s="37"/>
      <c r="E232" s="37"/>
      <c r="G232" s="19"/>
      <c r="H232" s="38"/>
    </row>
    <row r="233" ht="12.75" customHeight="1">
      <c r="A233" s="19"/>
      <c r="C233" s="37"/>
      <c r="E233" s="37"/>
      <c r="G233" s="19"/>
      <c r="H233" s="38"/>
    </row>
    <row r="234" ht="12.75" customHeight="1">
      <c r="A234" s="19"/>
      <c r="C234" s="37"/>
      <c r="E234" s="37"/>
      <c r="G234" s="19"/>
      <c r="H234" s="38"/>
    </row>
    <row r="235" ht="12.75" customHeight="1">
      <c r="A235" s="19"/>
      <c r="C235" s="37"/>
      <c r="E235" s="37"/>
      <c r="G235" s="19"/>
      <c r="H235" s="38"/>
    </row>
    <row r="236" ht="12.75" customHeight="1">
      <c r="A236" s="19"/>
      <c r="C236" s="37"/>
      <c r="E236" s="37"/>
      <c r="G236" s="19"/>
      <c r="H236" s="38"/>
    </row>
    <row r="237" ht="12.75" customHeight="1">
      <c r="A237" s="19"/>
      <c r="C237" s="37"/>
      <c r="E237" s="37"/>
      <c r="G237" s="19"/>
      <c r="H237" s="38"/>
    </row>
    <row r="238" ht="12.75" customHeight="1">
      <c r="A238" s="19"/>
      <c r="C238" s="37"/>
      <c r="E238" s="37"/>
      <c r="G238" s="19"/>
      <c r="H238" s="38"/>
    </row>
    <row r="239" ht="12.75" customHeight="1">
      <c r="A239" s="19"/>
      <c r="C239" s="37"/>
      <c r="E239" s="37"/>
      <c r="G239" s="19"/>
      <c r="H239" s="38"/>
    </row>
    <row r="240" ht="12.75" customHeight="1">
      <c r="A240" s="19"/>
      <c r="C240" s="37"/>
      <c r="E240" s="37"/>
      <c r="G240" s="19"/>
      <c r="H240" s="38"/>
    </row>
    <row r="241" ht="12.75" customHeight="1">
      <c r="A241" s="19"/>
      <c r="C241" s="37"/>
      <c r="E241" s="37"/>
      <c r="G241" s="19"/>
      <c r="H241" s="38"/>
    </row>
    <row r="242" ht="12.75" customHeight="1">
      <c r="A242" s="19"/>
      <c r="C242" s="37"/>
      <c r="E242" s="37"/>
      <c r="G242" s="19"/>
      <c r="H242" s="38"/>
    </row>
    <row r="243" ht="12.75" customHeight="1">
      <c r="A243" s="19"/>
      <c r="C243" s="37"/>
      <c r="E243" s="37"/>
      <c r="G243" s="19"/>
      <c r="H243" s="38"/>
    </row>
    <row r="244" ht="12.75" customHeight="1">
      <c r="A244" s="19"/>
      <c r="C244" s="37"/>
      <c r="E244" s="37"/>
      <c r="G244" s="19"/>
      <c r="H244" s="38"/>
    </row>
    <row r="245" ht="12.75" customHeight="1">
      <c r="A245" s="19"/>
      <c r="C245" s="37"/>
      <c r="E245" s="37"/>
      <c r="G245" s="19"/>
      <c r="H245" s="38"/>
    </row>
    <row r="246" ht="12.75" customHeight="1">
      <c r="A246" s="19"/>
      <c r="C246" s="37"/>
      <c r="E246" s="37"/>
      <c r="G246" s="19"/>
      <c r="H246" s="38"/>
    </row>
    <row r="247" ht="12.75" customHeight="1">
      <c r="A247" s="19"/>
      <c r="C247" s="37"/>
      <c r="E247" s="37"/>
      <c r="G247" s="19"/>
      <c r="H247" s="38"/>
    </row>
    <row r="248" ht="12.75" customHeight="1">
      <c r="A248" s="19"/>
      <c r="C248" s="37"/>
      <c r="E248" s="37"/>
      <c r="G248" s="19"/>
      <c r="H248" s="38"/>
    </row>
    <row r="249" ht="12.75" customHeight="1">
      <c r="A249" s="19"/>
      <c r="C249" s="37"/>
      <c r="E249" s="37"/>
      <c r="G249" s="19"/>
      <c r="H249" s="38"/>
    </row>
    <row r="250" ht="12.75" customHeight="1">
      <c r="A250" s="19"/>
      <c r="C250" s="37"/>
      <c r="E250" s="37"/>
      <c r="G250" s="19"/>
      <c r="H250" s="38"/>
    </row>
    <row r="251" ht="12.75" customHeight="1">
      <c r="A251" s="19"/>
      <c r="C251" s="37"/>
      <c r="E251" s="37"/>
      <c r="G251" s="19"/>
      <c r="H251" s="38"/>
    </row>
    <row r="252" ht="12.75" customHeight="1">
      <c r="A252" s="19"/>
      <c r="C252" s="37"/>
      <c r="E252" s="37"/>
      <c r="G252" s="19"/>
      <c r="H252" s="38"/>
    </row>
    <row r="253" ht="12.75" customHeight="1">
      <c r="A253" s="19"/>
      <c r="C253" s="37"/>
      <c r="E253" s="37"/>
      <c r="G253" s="19"/>
      <c r="H253" s="38"/>
    </row>
    <row r="254" ht="12.75" customHeight="1">
      <c r="A254" s="19"/>
      <c r="C254" s="37"/>
      <c r="E254" s="37"/>
      <c r="G254" s="19"/>
      <c r="H254" s="38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L1:L3"/>
    <mergeCell ref="L4:L5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91.57"/>
    <col customWidth="1" min="3" max="3" width="26.29"/>
    <col customWidth="1" min="4" max="23" width="9.86"/>
  </cols>
  <sheetData>
    <row r="1" ht="32.25" customHeight="1">
      <c r="A1" s="74" t="s">
        <v>84</v>
      </c>
      <c r="B1" s="75" t="s">
        <v>83</v>
      </c>
      <c r="C1" s="74" t="s">
        <v>91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</row>
    <row r="2" ht="27.75" customHeight="1">
      <c r="A2" s="77" t="s">
        <v>92</v>
      </c>
      <c r="B2" s="78" t="s">
        <v>93</v>
      </c>
      <c r="C2" s="79"/>
    </row>
    <row r="3" ht="12.75" customHeight="1">
      <c r="A3" s="77" t="s">
        <v>94</v>
      </c>
      <c r="B3" s="78" t="s">
        <v>95</v>
      </c>
      <c r="C3" s="79"/>
    </row>
    <row r="4" ht="12.75" customHeight="1">
      <c r="A4" s="77" t="s">
        <v>96</v>
      </c>
      <c r="B4" s="78" t="s">
        <v>97</v>
      </c>
      <c r="C4" s="80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ht="12.75" customHeight="1">
      <c r="A5" s="77" t="s">
        <v>98</v>
      </c>
      <c r="B5" s="78" t="s">
        <v>99</v>
      </c>
      <c r="C5" s="80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ht="12.75" customHeight="1">
      <c r="A6" s="77" t="s">
        <v>100</v>
      </c>
      <c r="B6" s="78" t="s">
        <v>101</v>
      </c>
      <c r="C6" s="79"/>
    </row>
    <row r="7" ht="12.75" customHeight="1">
      <c r="A7" s="77" t="s">
        <v>102</v>
      </c>
      <c r="B7" s="78" t="s">
        <v>103</v>
      </c>
      <c r="C7" s="79"/>
    </row>
    <row r="8" ht="12.75" customHeight="1">
      <c r="A8" s="77" t="s">
        <v>104</v>
      </c>
      <c r="B8" s="81" t="s">
        <v>105</v>
      </c>
      <c r="C8" s="79"/>
    </row>
    <row r="9" ht="12.75" customHeight="1">
      <c r="A9" s="82" t="s">
        <v>106</v>
      </c>
      <c r="B9" s="81" t="s">
        <v>107</v>
      </c>
      <c r="C9" s="79"/>
    </row>
    <row r="10" ht="12.75" customHeight="1">
      <c r="A10" s="82" t="s">
        <v>108</v>
      </c>
      <c r="B10" s="81" t="s">
        <v>109</v>
      </c>
      <c r="C10" s="79"/>
    </row>
    <row r="11" ht="12.75" customHeight="1">
      <c r="A11" s="82" t="s">
        <v>110</v>
      </c>
      <c r="B11" s="81" t="s">
        <v>111</v>
      </c>
      <c r="C11" s="79"/>
    </row>
    <row r="12" ht="12.75" customHeight="1">
      <c r="A12" s="82" t="s">
        <v>112</v>
      </c>
      <c r="B12" s="81" t="s">
        <v>113</v>
      </c>
      <c r="C12" s="79"/>
    </row>
    <row r="13" ht="12.75" customHeight="1">
      <c r="A13" s="82" t="s">
        <v>114</v>
      </c>
      <c r="B13" s="81" t="s">
        <v>115</v>
      </c>
      <c r="C13" s="79"/>
    </row>
    <row r="14" ht="12.75" customHeight="1">
      <c r="A14" s="77" t="s">
        <v>116</v>
      </c>
      <c r="B14" s="78" t="s">
        <v>117</v>
      </c>
      <c r="C14" s="80" t="s">
        <v>118</v>
      </c>
    </row>
    <row r="15" ht="12.75" customHeight="1">
      <c r="A15" s="77" t="s">
        <v>119</v>
      </c>
      <c r="B15" s="78" t="s">
        <v>120</v>
      </c>
      <c r="C15" s="80" t="s">
        <v>118</v>
      </c>
    </row>
    <row r="16" ht="12.75" customHeight="1">
      <c r="A16" s="77" t="s">
        <v>121</v>
      </c>
      <c r="B16" s="78" t="s">
        <v>122</v>
      </c>
      <c r="C16" s="80" t="s">
        <v>118</v>
      </c>
    </row>
    <row r="17" ht="12.75" customHeight="1">
      <c r="A17" s="77" t="s">
        <v>123</v>
      </c>
      <c r="B17" s="78" t="s">
        <v>124</v>
      </c>
      <c r="C17" s="80" t="s">
        <v>118</v>
      </c>
    </row>
    <row r="18" ht="12.75" customHeight="1">
      <c r="A18" s="77" t="s">
        <v>125</v>
      </c>
      <c r="B18" s="78" t="s">
        <v>117</v>
      </c>
      <c r="C18" s="80" t="s">
        <v>118</v>
      </c>
    </row>
    <row r="19" ht="12.75" customHeight="1">
      <c r="A19" s="77" t="s">
        <v>126</v>
      </c>
      <c r="B19" s="78" t="s">
        <v>127</v>
      </c>
      <c r="C19" s="80" t="s">
        <v>118</v>
      </c>
    </row>
    <row r="20" ht="12.75" customHeight="1">
      <c r="A20" s="77" t="s">
        <v>128</v>
      </c>
      <c r="B20" s="78" t="s">
        <v>117</v>
      </c>
      <c r="C20" s="80" t="s">
        <v>118</v>
      </c>
    </row>
    <row r="21" ht="12.75" customHeight="1">
      <c r="A21" s="77" t="s">
        <v>129</v>
      </c>
      <c r="B21" s="78" t="s">
        <v>117</v>
      </c>
      <c r="C21" s="80" t="s">
        <v>118</v>
      </c>
    </row>
    <row r="22" ht="12.75" customHeight="1">
      <c r="A22" s="77" t="s">
        <v>130</v>
      </c>
      <c r="B22" s="78" t="s">
        <v>131</v>
      </c>
      <c r="C22" s="80" t="s">
        <v>118</v>
      </c>
    </row>
    <row r="23" ht="12.75" customHeight="1">
      <c r="A23" s="77" t="s">
        <v>116</v>
      </c>
      <c r="B23" s="78" t="s">
        <v>132</v>
      </c>
      <c r="C23" s="80" t="s">
        <v>118</v>
      </c>
    </row>
    <row r="24" ht="12.75" customHeight="1">
      <c r="A24" s="83" t="s">
        <v>133</v>
      </c>
      <c r="B24" s="84" t="s">
        <v>134</v>
      </c>
      <c r="C24" s="79"/>
    </row>
    <row r="25" ht="12.75" customHeight="1">
      <c r="A25" s="83" t="s">
        <v>135</v>
      </c>
      <c r="B25" s="84" t="s">
        <v>136</v>
      </c>
      <c r="C25" s="79"/>
    </row>
    <row r="26" ht="12.75" customHeight="1">
      <c r="A26" s="83" t="s">
        <v>137</v>
      </c>
      <c r="B26" s="84" t="s">
        <v>138</v>
      </c>
      <c r="C26" s="79"/>
    </row>
    <row r="27" ht="12.75" customHeight="1">
      <c r="A27" s="83" t="s">
        <v>139</v>
      </c>
      <c r="B27" s="84" t="s">
        <v>140</v>
      </c>
      <c r="C27" s="79"/>
    </row>
    <row r="28" ht="12.75" customHeight="1">
      <c r="A28" s="83" t="s">
        <v>141</v>
      </c>
      <c r="B28" s="84" t="s">
        <v>142</v>
      </c>
      <c r="C28" s="79"/>
    </row>
    <row r="29" ht="12.75" customHeight="1">
      <c r="A29" s="83" t="s">
        <v>143</v>
      </c>
      <c r="B29" s="84" t="s">
        <v>144</v>
      </c>
      <c r="C29" s="79"/>
    </row>
    <row r="30" ht="12.75" customHeight="1">
      <c r="A30" s="83" t="s">
        <v>145</v>
      </c>
      <c r="B30" s="84" t="s">
        <v>146</v>
      </c>
      <c r="C30" s="79"/>
    </row>
    <row r="31" ht="12.75" customHeight="1">
      <c r="A31" s="83" t="s">
        <v>147</v>
      </c>
      <c r="B31" s="84" t="s">
        <v>148</v>
      </c>
      <c r="C31" s="79"/>
    </row>
    <row r="32" ht="12.75" customHeight="1">
      <c r="A32" s="83" t="s">
        <v>149</v>
      </c>
      <c r="B32" s="84" t="s">
        <v>150</v>
      </c>
      <c r="C32" s="79"/>
    </row>
    <row r="33" ht="12.75" customHeight="1">
      <c r="A33" s="83" t="s">
        <v>151</v>
      </c>
      <c r="B33" s="85" t="s">
        <v>152</v>
      </c>
      <c r="C33" s="79"/>
    </row>
    <row r="34" ht="12.75" customHeight="1">
      <c r="A34" s="77" t="s">
        <v>153</v>
      </c>
      <c r="B34" s="78" t="s">
        <v>154</v>
      </c>
      <c r="C34" s="79"/>
    </row>
    <row r="35" ht="12.75" customHeight="1">
      <c r="A35" s="77" t="s">
        <v>155</v>
      </c>
      <c r="B35" s="78" t="s">
        <v>156</v>
      </c>
      <c r="C35" s="79"/>
    </row>
    <row r="36" ht="12.75" customHeight="1">
      <c r="A36" s="77" t="s">
        <v>157</v>
      </c>
      <c r="B36" s="78" t="s">
        <v>158</v>
      </c>
      <c r="C36" s="79"/>
    </row>
    <row r="37" ht="12.75" customHeight="1">
      <c r="A37" s="77" t="s">
        <v>159</v>
      </c>
      <c r="B37" s="78" t="s">
        <v>156</v>
      </c>
      <c r="C37" s="79"/>
    </row>
    <row r="38" ht="12.75" customHeight="1">
      <c r="A38" s="77" t="s">
        <v>160</v>
      </c>
      <c r="B38" s="78" t="s">
        <v>161</v>
      </c>
      <c r="C38" s="79"/>
    </row>
    <row r="39" ht="12.75" customHeight="1">
      <c r="A39" s="77" t="s">
        <v>162</v>
      </c>
      <c r="B39" s="78" t="s">
        <v>163</v>
      </c>
      <c r="C39" s="79"/>
    </row>
    <row r="40" ht="12.75" customHeight="1">
      <c r="A40" s="77" t="s">
        <v>164</v>
      </c>
      <c r="B40" s="78" t="s">
        <v>165</v>
      </c>
      <c r="C40" s="79"/>
    </row>
    <row r="41" ht="12.75" customHeight="1">
      <c r="A41" s="77" t="s">
        <v>166</v>
      </c>
      <c r="B41" s="78" t="s">
        <v>167</v>
      </c>
      <c r="C41" s="79"/>
    </row>
    <row r="42" ht="12.75" customHeight="1">
      <c r="A42" s="82" t="s">
        <v>168</v>
      </c>
      <c r="B42" s="81" t="s">
        <v>169</v>
      </c>
      <c r="C42" s="79"/>
    </row>
    <row r="43" ht="12.75" customHeight="1">
      <c r="A43" s="82" t="s">
        <v>170</v>
      </c>
      <c r="B43" s="81" t="s">
        <v>171</v>
      </c>
      <c r="C43" s="79"/>
    </row>
    <row r="44" ht="12.75" customHeight="1">
      <c r="A44" s="82" t="s">
        <v>172</v>
      </c>
      <c r="B44" s="81" t="s">
        <v>173</v>
      </c>
      <c r="C44" s="79"/>
    </row>
    <row r="45" ht="12.75" customHeight="1">
      <c r="A45" s="77"/>
      <c r="B45" s="78"/>
    </row>
    <row r="46" ht="12.75" customHeight="1">
      <c r="A46" s="77"/>
      <c r="B46" s="78"/>
    </row>
    <row r="47" ht="12.75" customHeight="1">
      <c r="A47" s="77"/>
      <c r="B47" s="78"/>
    </row>
    <row r="48" ht="12.75" customHeight="1">
      <c r="A48" s="77"/>
      <c r="B48" s="78"/>
    </row>
    <row r="49" ht="12.75" customHeight="1">
      <c r="A49" s="77"/>
      <c r="B49" s="78"/>
    </row>
    <row r="50" ht="12.75" customHeight="1">
      <c r="A50" s="77"/>
      <c r="B50" s="78"/>
    </row>
    <row r="51" ht="12.75" customHeight="1">
      <c r="A51" s="86"/>
      <c r="B51" s="87"/>
    </row>
    <row r="52" ht="12.75" customHeight="1">
      <c r="A52" s="86"/>
      <c r="B52" s="87"/>
    </row>
    <row r="53" ht="12.75" customHeight="1">
      <c r="A53" s="86"/>
      <c r="B53" s="87"/>
    </row>
    <row r="54" ht="12.75" customHeight="1">
      <c r="A54" s="86"/>
      <c r="B54" s="87"/>
    </row>
    <row r="55" ht="12.75" customHeight="1">
      <c r="A55" s="86"/>
      <c r="B55" s="87"/>
    </row>
    <row r="56" ht="12.75" customHeight="1">
      <c r="A56" s="86"/>
      <c r="B56" s="87"/>
    </row>
    <row r="57" ht="12.75" customHeight="1">
      <c r="A57" s="86"/>
      <c r="B57" s="87"/>
    </row>
    <row r="58" ht="12.75" customHeight="1">
      <c r="A58" s="86"/>
      <c r="B58" s="87"/>
    </row>
    <row r="59" ht="12.75" customHeight="1">
      <c r="A59" s="86"/>
      <c r="B59" s="87"/>
    </row>
    <row r="60" ht="12.75" customHeight="1">
      <c r="A60" s="86"/>
      <c r="B60" s="87"/>
    </row>
    <row r="61" ht="12.75" customHeight="1">
      <c r="A61" s="86"/>
      <c r="B61" s="87"/>
    </row>
    <row r="62" ht="12.75" customHeight="1">
      <c r="A62" s="86"/>
      <c r="B62" s="87"/>
    </row>
    <row r="63" ht="12.75" customHeight="1">
      <c r="A63" s="86"/>
      <c r="B63" s="87"/>
    </row>
    <row r="64" ht="12.75" customHeight="1">
      <c r="A64" s="86"/>
      <c r="B64" s="87"/>
    </row>
    <row r="65" ht="12.75" customHeight="1">
      <c r="A65" s="86"/>
      <c r="B65" s="87"/>
    </row>
    <row r="66" ht="12.75" customHeight="1">
      <c r="A66" s="86"/>
      <c r="B66" s="87"/>
    </row>
    <row r="67" ht="12.75" customHeight="1">
      <c r="A67" s="86"/>
      <c r="B67" s="87"/>
    </row>
    <row r="68" ht="12.75" customHeight="1">
      <c r="A68" s="86"/>
      <c r="B68" s="87"/>
    </row>
    <row r="69" ht="12.75" customHeight="1">
      <c r="A69" s="86"/>
      <c r="B69" s="87"/>
    </row>
    <row r="70" ht="12.75" customHeight="1">
      <c r="A70" s="86"/>
      <c r="B70" s="87"/>
    </row>
    <row r="71" ht="12.75" customHeight="1">
      <c r="A71" s="86"/>
      <c r="B71" s="87"/>
    </row>
    <row r="72" ht="12.75" customHeight="1">
      <c r="A72" s="86"/>
      <c r="B72" s="87"/>
    </row>
    <row r="73" ht="12.75" customHeight="1">
      <c r="A73" s="86"/>
      <c r="B73" s="87"/>
    </row>
    <row r="74" ht="12.75" customHeight="1">
      <c r="A74" s="86"/>
      <c r="B74" s="87"/>
    </row>
    <row r="75" ht="12.75" customHeight="1">
      <c r="A75" s="86"/>
      <c r="B75" s="87"/>
    </row>
    <row r="76" ht="12.75" customHeight="1">
      <c r="A76" s="86"/>
      <c r="B76" s="87"/>
    </row>
    <row r="77" ht="12.75" customHeight="1">
      <c r="A77" s="86"/>
      <c r="B77" s="87"/>
    </row>
    <row r="78" ht="12.75" customHeight="1">
      <c r="A78" s="86"/>
      <c r="B78" s="87"/>
    </row>
    <row r="79" ht="12.75" customHeight="1">
      <c r="A79" s="86"/>
      <c r="B79" s="87"/>
    </row>
    <row r="80" ht="12.75" customHeight="1">
      <c r="A80" s="86"/>
      <c r="B80" s="87"/>
    </row>
    <row r="81" ht="12.75" customHeight="1">
      <c r="A81" s="86"/>
      <c r="B81" s="87"/>
    </row>
    <row r="82" ht="12.75" customHeight="1">
      <c r="A82" s="86"/>
      <c r="B82" s="87"/>
    </row>
    <row r="83" ht="12.75" customHeight="1">
      <c r="A83" s="86"/>
      <c r="B83" s="87"/>
    </row>
    <row r="84" ht="12.75" customHeight="1">
      <c r="A84" s="86"/>
      <c r="B84" s="87"/>
    </row>
    <row r="85" ht="12.75" customHeight="1">
      <c r="A85" s="86"/>
      <c r="B85" s="87"/>
    </row>
    <row r="86" ht="12.75" customHeight="1">
      <c r="A86" s="86"/>
      <c r="B86" s="87"/>
    </row>
    <row r="87" ht="12.75" customHeight="1">
      <c r="A87" s="86"/>
      <c r="B87" s="87"/>
    </row>
    <row r="88" ht="12.75" customHeight="1">
      <c r="A88" s="86"/>
      <c r="B88" s="87"/>
    </row>
    <row r="89" ht="12.75" customHeight="1">
      <c r="A89" s="86"/>
      <c r="B89" s="87"/>
    </row>
    <row r="90" ht="12.75" customHeight="1">
      <c r="A90" s="86"/>
      <c r="B90" s="87"/>
    </row>
    <row r="91" ht="12.75" customHeight="1">
      <c r="A91" s="86"/>
      <c r="B91" s="87"/>
    </row>
    <row r="92" ht="12.75" customHeight="1">
      <c r="A92" s="86"/>
      <c r="B92" s="87"/>
    </row>
    <row r="93" ht="12.75" customHeight="1">
      <c r="A93" s="86"/>
      <c r="B93" s="87"/>
    </row>
    <row r="94" ht="12.75" customHeight="1">
      <c r="A94" s="86"/>
      <c r="B94" s="87"/>
    </row>
    <row r="95" ht="12.75" customHeight="1">
      <c r="A95" s="86"/>
      <c r="B95" s="87"/>
    </row>
    <row r="96" ht="12.75" customHeight="1">
      <c r="A96" s="86"/>
      <c r="B96" s="87"/>
    </row>
    <row r="97" ht="12.75" customHeight="1">
      <c r="A97" s="86"/>
      <c r="B97" s="87"/>
    </row>
    <row r="98" ht="12.75" customHeight="1">
      <c r="A98" s="86"/>
      <c r="B98" s="87"/>
    </row>
    <row r="99" ht="12.75" customHeight="1">
      <c r="A99" s="86"/>
      <c r="B99" s="87"/>
    </row>
    <row r="100" ht="12.75" customHeight="1">
      <c r="A100" s="86"/>
      <c r="B100" s="87"/>
    </row>
    <row r="101" ht="12.75" customHeight="1">
      <c r="A101" s="86"/>
      <c r="B101" s="87"/>
    </row>
    <row r="102" ht="12.75" customHeight="1">
      <c r="A102" s="86"/>
      <c r="B102" s="87"/>
    </row>
    <row r="103" ht="12.75" customHeight="1">
      <c r="A103" s="86"/>
      <c r="B103" s="87"/>
    </row>
    <row r="104" ht="12.75" customHeight="1">
      <c r="A104" s="86"/>
      <c r="B104" s="87"/>
    </row>
    <row r="105" ht="12.75" customHeight="1">
      <c r="A105" s="86"/>
      <c r="B105" s="87"/>
    </row>
    <row r="106" ht="12.75" customHeight="1">
      <c r="A106" s="86"/>
      <c r="B106" s="87"/>
    </row>
    <row r="107" ht="12.75" customHeight="1">
      <c r="A107" s="86"/>
      <c r="B107" s="87"/>
    </row>
    <row r="108" ht="12.75" customHeight="1">
      <c r="A108" s="86"/>
      <c r="B108" s="87"/>
    </row>
    <row r="109" ht="12.75" customHeight="1">
      <c r="A109" s="86"/>
      <c r="B109" s="87"/>
    </row>
    <row r="110" ht="12.75" customHeight="1">
      <c r="A110" s="86"/>
      <c r="B110" s="87"/>
    </row>
    <row r="111" ht="12.75" customHeight="1">
      <c r="A111" s="86"/>
      <c r="B111" s="87"/>
    </row>
    <row r="112" ht="12.75" customHeight="1">
      <c r="A112" s="86"/>
      <c r="B112" s="87"/>
    </row>
    <row r="113" ht="12.75" customHeight="1">
      <c r="A113" s="86"/>
      <c r="B113" s="87"/>
    </row>
    <row r="114" ht="12.75" customHeight="1">
      <c r="A114" s="86"/>
      <c r="B114" s="87"/>
    </row>
    <row r="115" ht="12.75" customHeight="1">
      <c r="A115" s="86"/>
      <c r="B115" s="87"/>
    </row>
    <row r="116" ht="12.75" customHeight="1">
      <c r="A116" s="86"/>
      <c r="B116" s="87"/>
    </row>
    <row r="117" ht="12.75" customHeight="1">
      <c r="A117" s="86"/>
      <c r="B117" s="87"/>
    </row>
    <row r="118" ht="12.75" customHeight="1">
      <c r="A118" s="86"/>
      <c r="B118" s="87"/>
    </row>
    <row r="119" ht="12.75" customHeight="1">
      <c r="A119" s="86"/>
      <c r="B119" s="87"/>
    </row>
    <row r="120" ht="12.75" customHeight="1">
      <c r="A120" s="86"/>
      <c r="B120" s="87"/>
    </row>
    <row r="121" ht="12.75" customHeight="1">
      <c r="A121" s="86"/>
      <c r="B121" s="87"/>
    </row>
    <row r="122" ht="12.75" customHeight="1">
      <c r="A122" s="86"/>
      <c r="B122" s="87"/>
    </row>
    <row r="123" ht="12.75" customHeight="1">
      <c r="A123" s="86"/>
      <c r="B123" s="87"/>
    </row>
    <row r="124" ht="12.75" customHeight="1">
      <c r="A124" s="86"/>
      <c r="B124" s="87"/>
    </row>
    <row r="125" ht="12.75" customHeight="1">
      <c r="A125" s="86"/>
      <c r="B125" s="87"/>
    </row>
    <row r="126" ht="12.75" customHeight="1">
      <c r="A126" s="86"/>
      <c r="B126" s="87"/>
    </row>
    <row r="127" ht="12.75" customHeight="1">
      <c r="A127" s="86"/>
      <c r="B127" s="87"/>
    </row>
    <row r="128" ht="12.75" customHeight="1">
      <c r="A128" s="86"/>
      <c r="B128" s="87"/>
    </row>
    <row r="129" ht="12.75" customHeight="1">
      <c r="A129" s="86"/>
      <c r="B129" s="87"/>
    </row>
    <row r="130" ht="12.75" customHeight="1">
      <c r="A130" s="86"/>
      <c r="B130" s="87"/>
    </row>
    <row r="131" ht="12.75" customHeight="1">
      <c r="A131" s="86"/>
      <c r="B131" s="87"/>
    </row>
    <row r="132" ht="12.75" customHeight="1">
      <c r="A132" s="86"/>
      <c r="B132" s="87"/>
    </row>
    <row r="133" ht="12.75" customHeight="1">
      <c r="A133" s="86"/>
      <c r="B133" s="87"/>
    </row>
    <row r="134" ht="12.75" customHeight="1">
      <c r="A134" s="86"/>
      <c r="B134" s="87"/>
    </row>
    <row r="135" ht="12.75" customHeight="1">
      <c r="A135" s="86"/>
      <c r="B135" s="87"/>
    </row>
    <row r="136" ht="12.75" customHeight="1">
      <c r="A136" s="86"/>
      <c r="B136" s="87"/>
    </row>
    <row r="137" ht="12.75" customHeight="1">
      <c r="A137" s="86"/>
      <c r="B137" s="87"/>
    </row>
    <row r="138" ht="12.75" customHeight="1">
      <c r="A138" s="86"/>
      <c r="B138" s="87"/>
    </row>
    <row r="139" ht="12.75" customHeight="1">
      <c r="A139" s="86"/>
      <c r="B139" s="87"/>
    </row>
    <row r="140" ht="12.75" customHeight="1">
      <c r="A140" s="86"/>
      <c r="B140" s="87"/>
    </row>
    <row r="141" ht="12.75" customHeight="1">
      <c r="A141" s="86"/>
      <c r="B141" s="87"/>
    </row>
    <row r="142" ht="12.75" customHeight="1">
      <c r="A142" s="86"/>
      <c r="B142" s="87"/>
    </row>
    <row r="143" ht="12.75" customHeight="1">
      <c r="A143" s="86"/>
      <c r="B143" s="87"/>
    </row>
    <row r="144" ht="12.75" customHeight="1">
      <c r="A144" s="86"/>
      <c r="B144" s="87"/>
    </row>
    <row r="145" ht="12.75" customHeight="1">
      <c r="A145" s="86"/>
      <c r="B145" s="87"/>
    </row>
    <row r="146" ht="12.75" customHeight="1">
      <c r="A146" s="86"/>
      <c r="B146" s="87"/>
    </row>
    <row r="147" ht="12.75" customHeight="1">
      <c r="A147" s="86"/>
      <c r="B147" s="87"/>
    </row>
    <row r="148" ht="12.75" customHeight="1">
      <c r="A148" s="86"/>
      <c r="B148" s="87"/>
    </row>
    <row r="149" ht="12.75" customHeight="1">
      <c r="A149" s="86"/>
      <c r="B149" s="87"/>
    </row>
    <row r="150" ht="12.75" customHeight="1">
      <c r="A150" s="86"/>
      <c r="B150" s="87"/>
    </row>
    <row r="151" ht="12.75" customHeight="1">
      <c r="A151" s="86"/>
      <c r="B151" s="87"/>
    </row>
    <row r="152" ht="12.75" customHeight="1">
      <c r="A152" s="86"/>
      <c r="B152" s="87"/>
    </row>
    <row r="153" ht="12.75" customHeight="1">
      <c r="A153" s="86"/>
      <c r="B153" s="87"/>
    </row>
    <row r="154" ht="12.75" customHeight="1">
      <c r="A154" s="86"/>
      <c r="B154" s="87"/>
    </row>
    <row r="155" ht="12.75" customHeight="1">
      <c r="A155" s="86"/>
      <c r="B155" s="87"/>
    </row>
    <row r="156" ht="12.75" customHeight="1">
      <c r="A156" s="86"/>
      <c r="B156" s="87"/>
    </row>
    <row r="157" ht="12.75" customHeight="1">
      <c r="A157" s="86"/>
      <c r="B157" s="87"/>
    </row>
    <row r="158" ht="12.75" customHeight="1">
      <c r="A158" s="86"/>
      <c r="B158" s="87"/>
    </row>
    <row r="159" ht="12.75" customHeight="1">
      <c r="A159" s="86"/>
      <c r="B159" s="87"/>
    </row>
    <row r="160" ht="12.75" customHeight="1">
      <c r="A160" s="86"/>
      <c r="B160" s="87"/>
    </row>
    <row r="161" ht="12.75" customHeight="1">
      <c r="A161" s="86"/>
      <c r="B161" s="87"/>
    </row>
    <row r="162" ht="12.75" customHeight="1">
      <c r="A162" s="86"/>
      <c r="B162" s="87"/>
    </row>
    <row r="163" ht="12.75" customHeight="1">
      <c r="A163" s="86"/>
      <c r="B163" s="87"/>
    </row>
    <row r="164" ht="12.75" customHeight="1">
      <c r="A164" s="86"/>
      <c r="B164" s="87"/>
    </row>
    <row r="165" ht="12.75" customHeight="1">
      <c r="A165" s="86"/>
      <c r="B165" s="87"/>
    </row>
    <row r="166" ht="12.75" customHeight="1">
      <c r="A166" s="86"/>
      <c r="B166" s="87"/>
    </row>
    <row r="167" ht="12.75" customHeight="1">
      <c r="A167" s="86"/>
      <c r="B167" s="87"/>
    </row>
    <row r="168" ht="12.75" customHeight="1">
      <c r="A168" s="86"/>
      <c r="B168" s="87"/>
    </row>
    <row r="169" ht="12.75" customHeight="1">
      <c r="A169" s="86"/>
      <c r="B169" s="87"/>
    </row>
    <row r="170" ht="12.75" customHeight="1">
      <c r="A170" s="86"/>
      <c r="B170" s="87"/>
    </row>
    <row r="171" ht="12.75" customHeight="1">
      <c r="A171" s="86"/>
      <c r="B171" s="87"/>
    </row>
    <row r="172" ht="12.75" customHeight="1">
      <c r="A172" s="86"/>
      <c r="B172" s="87"/>
    </row>
    <row r="173" ht="12.75" customHeight="1">
      <c r="A173" s="86"/>
      <c r="B173" s="87"/>
    </row>
    <row r="174" ht="12.75" customHeight="1">
      <c r="A174" s="86"/>
      <c r="B174" s="87"/>
    </row>
    <row r="175" ht="12.75" customHeight="1">
      <c r="A175" s="86"/>
      <c r="B175" s="87"/>
    </row>
    <row r="176" ht="12.75" customHeight="1">
      <c r="A176" s="86"/>
      <c r="B176" s="87"/>
    </row>
    <row r="177" ht="12.75" customHeight="1">
      <c r="A177" s="86"/>
      <c r="B177" s="87"/>
    </row>
    <row r="178" ht="12.75" customHeight="1">
      <c r="A178" s="86"/>
      <c r="B178" s="87"/>
    </row>
    <row r="179" ht="12.75" customHeight="1">
      <c r="A179" s="86"/>
      <c r="B179" s="87"/>
    </row>
    <row r="180" ht="12.75" customHeight="1">
      <c r="A180" s="86"/>
      <c r="B180" s="87"/>
    </row>
    <row r="181" ht="12.75" customHeight="1">
      <c r="A181" s="86"/>
      <c r="B181" s="87"/>
    </row>
    <row r="182" ht="12.75" customHeight="1">
      <c r="A182" s="86"/>
      <c r="B182" s="87"/>
    </row>
    <row r="183" ht="12.75" customHeight="1">
      <c r="A183" s="86"/>
      <c r="B183" s="87"/>
    </row>
    <row r="184" ht="12.75" customHeight="1">
      <c r="A184" s="86"/>
      <c r="B184" s="87"/>
    </row>
    <row r="185" ht="12.75" customHeight="1">
      <c r="A185" s="86"/>
      <c r="B185" s="87"/>
    </row>
    <row r="186" ht="12.75" customHeight="1">
      <c r="A186" s="86"/>
      <c r="B186" s="87"/>
    </row>
    <row r="187" ht="12.75" customHeight="1">
      <c r="A187" s="86"/>
      <c r="B187" s="87"/>
    </row>
    <row r="188" ht="12.75" customHeight="1">
      <c r="A188" s="86"/>
      <c r="B188" s="87"/>
    </row>
    <row r="189" ht="12.75" customHeight="1">
      <c r="A189" s="86"/>
      <c r="B189" s="87"/>
    </row>
    <row r="190" ht="12.75" customHeight="1">
      <c r="A190" s="86"/>
      <c r="B190" s="87"/>
    </row>
    <row r="191" ht="12.75" customHeight="1">
      <c r="A191" s="86"/>
      <c r="B191" s="87"/>
    </row>
    <row r="192" ht="12.75" customHeight="1">
      <c r="A192" s="86"/>
      <c r="B192" s="87"/>
    </row>
    <row r="193" ht="12.75" customHeight="1">
      <c r="A193" s="86"/>
      <c r="B193" s="87"/>
    </row>
    <row r="194" ht="12.75" customHeight="1">
      <c r="A194" s="86"/>
      <c r="B194" s="87"/>
    </row>
    <row r="195" ht="12.75" customHeight="1">
      <c r="A195" s="86"/>
      <c r="B195" s="87"/>
    </row>
    <row r="196" ht="12.75" customHeight="1">
      <c r="A196" s="86"/>
      <c r="B196" s="87"/>
    </row>
    <row r="197" ht="12.75" customHeight="1">
      <c r="A197" s="86"/>
      <c r="B197" s="87"/>
    </row>
    <row r="198" ht="12.75" customHeight="1">
      <c r="A198" s="86"/>
      <c r="B198" s="87"/>
    </row>
    <row r="199" ht="12.75" customHeight="1">
      <c r="A199" s="86"/>
      <c r="B199" s="87"/>
    </row>
    <row r="200" ht="12.75" customHeight="1">
      <c r="A200" s="86"/>
      <c r="B200" s="87"/>
    </row>
    <row r="201" ht="12.75" customHeight="1">
      <c r="A201" s="86"/>
      <c r="B201" s="87"/>
    </row>
    <row r="202" ht="12.75" customHeight="1">
      <c r="A202" s="86"/>
      <c r="B202" s="87"/>
    </row>
    <row r="203" ht="12.75" customHeight="1">
      <c r="A203" s="86"/>
      <c r="B203" s="87"/>
    </row>
    <row r="204" ht="12.75" customHeight="1">
      <c r="A204" s="86"/>
      <c r="B204" s="87"/>
    </row>
    <row r="205" ht="12.75" customHeight="1">
      <c r="A205" s="86"/>
      <c r="B205" s="87"/>
    </row>
    <row r="206" ht="12.75" customHeight="1">
      <c r="A206" s="86"/>
      <c r="B206" s="87"/>
    </row>
    <row r="207" ht="12.75" customHeight="1">
      <c r="A207" s="86"/>
      <c r="B207" s="87"/>
    </row>
    <row r="208" ht="12.75" customHeight="1">
      <c r="A208" s="86"/>
      <c r="B208" s="87"/>
    </row>
    <row r="209" ht="12.75" customHeight="1">
      <c r="A209" s="86"/>
      <c r="B209" s="87"/>
    </row>
    <row r="210" ht="12.75" customHeight="1">
      <c r="A210" s="86"/>
      <c r="B210" s="87"/>
    </row>
    <row r="211" ht="12.75" customHeight="1">
      <c r="A211" s="86"/>
      <c r="B211" s="87"/>
    </row>
    <row r="212" ht="12.75" customHeight="1">
      <c r="A212" s="86"/>
      <c r="B212" s="87"/>
    </row>
    <row r="213" ht="12.75" customHeight="1">
      <c r="A213" s="86"/>
      <c r="B213" s="87"/>
    </row>
    <row r="214" ht="12.75" customHeight="1">
      <c r="A214" s="86"/>
      <c r="B214" s="87"/>
    </row>
    <row r="215" ht="12.75" customHeight="1">
      <c r="A215" s="86"/>
      <c r="B215" s="87"/>
    </row>
    <row r="216" ht="12.75" customHeight="1">
      <c r="A216" s="86"/>
      <c r="B216" s="87"/>
    </row>
    <row r="217" ht="12.75" customHeight="1">
      <c r="A217" s="86"/>
      <c r="B217" s="87"/>
    </row>
    <row r="218" ht="12.75" customHeight="1">
      <c r="A218" s="86"/>
      <c r="B218" s="87"/>
    </row>
    <row r="219" ht="12.75" customHeight="1">
      <c r="A219" s="86"/>
      <c r="B219" s="87"/>
    </row>
    <row r="220" ht="12.75" customHeight="1">
      <c r="A220" s="86"/>
      <c r="B220" s="87"/>
    </row>
    <row r="221" ht="12.75" customHeight="1">
      <c r="A221" s="86"/>
      <c r="B221" s="87"/>
    </row>
    <row r="222" ht="12.75" customHeight="1">
      <c r="A222" s="86"/>
      <c r="B222" s="87"/>
    </row>
    <row r="223" ht="12.75" customHeight="1">
      <c r="A223" s="86"/>
      <c r="B223" s="87"/>
    </row>
    <row r="224" ht="12.75" customHeight="1">
      <c r="A224" s="86"/>
      <c r="B224" s="87"/>
    </row>
    <row r="225" ht="12.75" customHeight="1">
      <c r="A225" s="86"/>
      <c r="B225" s="87"/>
    </row>
    <row r="226" ht="12.75" customHeight="1">
      <c r="A226" s="86"/>
      <c r="B226" s="87"/>
    </row>
    <row r="227" ht="12.75" customHeight="1">
      <c r="A227" s="86"/>
      <c r="B227" s="87"/>
    </row>
    <row r="228" ht="12.75" customHeight="1">
      <c r="A228" s="86"/>
      <c r="B228" s="87"/>
    </row>
    <row r="229" ht="12.75" customHeight="1">
      <c r="A229" s="86"/>
      <c r="B229" s="87"/>
    </row>
    <row r="230" ht="12.75" customHeight="1">
      <c r="A230" s="86"/>
      <c r="B230" s="87"/>
    </row>
    <row r="231" ht="12.75" customHeight="1">
      <c r="A231" s="86"/>
      <c r="B231" s="87"/>
    </row>
    <row r="232" ht="12.75" customHeight="1">
      <c r="A232" s="86"/>
      <c r="B232" s="87"/>
    </row>
    <row r="233" ht="12.75" customHeight="1">
      <c r="A233" s="86"/>
      <c r="B233" s="87"/>
    </row>
    <row r="234" ht="12.75" customHeight="1">
      <c r="A234" s="86"/>
      <c r="B234" s="87"/>
    </row>
    <row r="235" ht="12.75" customHeight="1">
      <c r="A235" s="86"/>
      <c r="B235" s="87"/>
    </row>
    <row r="236" ht="12.75" customHeight="1">
      <c r="A236" s="86"/>
      <c r="B236" s="87"/>
    </row>
    <row r="237" ht="12.75" customHeight="1">
      <c r="A237" s="86"/>
      <c r="B237" s="87"/>
    </row>
    <row r="238" ht="12.75" customHeight="1">
      <c r="A238" s="86"/>
      <c r="B238" s="87"/>
    </row>
    <row r="239" ht="12.75" customHeight="1">
      <c r="A239" s="86"/>
      <c r="B239" s="87"/>
    </row>
    <row r="240" ht="12.75" customHeight="1">
      <c r="A240" s="86"/>
      <c r="B240" s="87"/>
    </row>
    <row r="241" ht="12.75" customHeight="1">
      <c r="A241" s="86"/>
      <c r="B241" s="87"/>
    </row>
    <row r="242" ht="12.75" customHeight="1">
      <c r="A242" s="86"/>
      <c r="B242" s="87"/>
    </row>
    <row r="243" ht="12.75" customHeight="1">
      <c r="A243" s="86"/>
      <c r="B243" s="87"/>
    </row>
    <row r="244" ht="12.75" customHeight="1">
      <c r="A244" s="86"/>
      <c r="B244" s="87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71"/>
    <col customWidth="1" min="2" max="2" width="54.57"/>
    <col customWidth="1" min="3" max="3" width="26.71"/>
    <col customWidth="1" min="4" max="4" width="21.71"/>
    <col customWidth="1" min="5" max="6" width="17.71"/>
    <col customWidth="1" min="7" max="7" width="29.43"/>
    <col customWidth="1" min="8" max="8" width="31.71"/>
    <col customWidth="1" min="9" max="9" width="22.29"/>
    <col customWidth="1" min="10" max="10" width="32.0"/>
    <col customWidth="1" min="11" max="11" width="44.43"/>
    <col customWidth="1" min="12" max="12" width="70.57"/>
    <col customWidth="1" min="13" max="26" width="8.71"/>
  </cols>
  <sheetData>
    <row r="1" ht="30.0" customHeight="1">
      <c r="A1" s="88"/>
      <c r="B1" s="89" t="s">
        <v>174</v>
      </c>
      <c r="C1" s="89"/>
      <c r="D1" s="88"/>
      <c r="E1" s="90"/>
      <c r="F1" s="90"/>
      <c r="G1" s="88"/>
      <c r="H1" s="91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>
      <c r="E2" s="92"/>
      <c r="F2" s="92"/>
      <c r="H2" s="93"/>
    </row>
    <row r="3">
      <c r="A3" s="94"/>
      <c r="B3" s="94" t="s">
        <v>175</v>
      </c>
      <c r="C3" s="94" t="s">
        <v>176</v>
      </c>
      <c r="D3" s="94" t="s">
        <v>177</v>
      </c>
      <c r="E3" s="95" t="s">
        <v>178</v>
      </c>
      <c r="F3" s="95" t="s">
        <v>178</v>
      </c>
      <c r="G3" s="94" t="s">
        <v>179</v>
      </c>
      <c r="H3" s="96" t="s">
        <v>180</v>
      </c>
      <c r="I3" s="94" t="s">
        <v>181</v>
      </c>
      <c r="J3" s="94" t="s">
        <v>182</v>
      </c>
      <c r="K3" s="94" t="s">
        <v>183</v>
      </c>
      <c r="L3" s="94" t="s">
        <v>184</v>
      </c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>
      <c r="E4" s="92"/>
      <c r="F4" s="92"/>
      <c r="H4" s="93"/>
    </row>
    <row r="5">
      <c r="A5" s="94"/>
      <c r="B5" s="94" t="s">
        <v>185</v>
      </c>
      <c r="C5" s="94"/>
      <c r="D5" s="94"/>
      <c r="E5" s="95"/>
      <c r="F5" s="95"/>
      <c r="G5" s="94"/>
      <c r="H5" s="96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>
      <c r="B6" s="97" t="s">
        <v>186</v>
      </c>
      <c r="C6" s="97"/>
      <c r="D6" s="97"/>
      <c r="E6" s="92" t="s">
        <v>187</v>
      </c>
      <c r="F6" s="92"/>
      <c r="G6" s="98" t="s">
        <v>188</v>
      </c>
      <c r="H6" s="93" t="s">
        <v>189</v>
      </c>
      <c r="K6" s="99" t="s">
        <v>190</v>
      </c>
    </row>
    <row r="7">
      <c r="B7" s="97" t="s">
        <v>191</v>
      </c>
      <c r="C7" s="97"/>
      <c r="D7" s="97"/>
      <c r="E7" s="92"/>
      <c r="F7" s="92"/>
      <c r="G7" s="98"/>
      <c r="H7" s="93"/>
    </row>
    <row r="8">
      <c r="B8" s="99" t="s">
        <v>71</v>
      </c>
      <c r="C8" s="99" t="s">
        <v>192</v>
      </c>
      <c r="E8" s="92" t="s">
        <v>193</v>
      </c>
      <c r="F8" s="92"/>
      <c r="G8" s="98" t="s">
        <v>194</v>
      </c>
      <c r="H8" s="93" t="s">
        <v>195</v>
      </c>
      <c r="K8" s="99" t="s">
        <v>196</v>
      </c>
      <c r="L8" s="99" t="s">
        <v>197</v>
      </c>
    </row>
    <row r="9">
      <c r="A9" s="100"/>
      <c r="B9" s="100" t="s">
        <v>198</v>
      </c>
      <c r="C9" s="100" t="s">
        <v>199</v>
      </c>
      <c r="D9" s="100"/>
      <c r="E9" s="101" t="s">
        <v>200</v>
      </c>
      <c r="F9" s="101"/>
      <c r="G9" s="102" t="s">
        <v>201</v>
      </c>
      <c r="H9" s="103" t="s">
        <v>202</v>
      </c>
      <c r="I9" s="100"/>
      <c r="J9" s="100" t="s">
        <v>203</v>
      </c>
      <c r="K9" s="100" t="s">
        <v>204</v>
      </c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>
      <c r="A10" s="97"/>
      <c r="B10" s="97" t="s">
        <v>205</v>
      </c>
      <c r="C10" s="97"/>
      <c r="D10" s="97"/>
      <c r="E10" s="92" t="s">
        <v>206</v>
      </c>
      <c r="F10" s="92"/>
      <c r="G10" s="98" t="s">
        <v>207</v>
      </c>
      <c r="H10" s="93" t="s">
        <v>208</v>
      </c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>
      <c r="A11" s="94"/>
      <c r="B11" s="94" t="s">
        <v>209</v>
      </c>
      <c r="C11" s="94"/>
      <c r="D11" s="94"/>
      <c r="E11" s="95"/>
      <c r="F11" s="95"/>
      <c r="G11" s="94"/>
      <c r="H11" s="96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>
      <c r="B12" s="104" t="s">
        <v>210</v>
      </c>
      <c r="C12" s="99" t="s">
        <v>211</v>
      </c>
      <c r="E12" s="92" t="s">
        <v>212</v>
      </c>
      <c r="F12" s="92"/>
      <c r="G12" s="98" t="s">
        <v>213</v>
      </c>
      <c r="H12" s="93" t="s">
        <v>214</v>
      </c>
      <c r="J12" s="99" t="s">
        <v>215</v>
      </c>
      <c r="K12" s="93" t="s">
        <v>216</v>
      </c>
    </row>
    <row r="13">
      <c r="B13" s="104" t="s">
        <v>217</v>
      </c>
      <c r="C13" s="99" t="s">
        <v>218</v>
      </c>
      <c r="E13" s="105" t="s">
        <v>219</v>
      </c>
      <c r="F13" s="98"/>
      <c r="G13" s="98" t="s">
        <v>220</v>
      </c>
      <c r="H13" s="93"/>
      <c r="K13" s="106" t="s">
        <v>221</v>
      </c>
    </row>
    <row r="14">
      <c r="B14" s="104" t="s">
        <v>222</v>
      </c>
      <c r="C14" s="99" t="s">
        <v>223</v>
      </c>
      <c r="E14" s="105" t="s">
        <v>224</v>
      </c>
      <c r="F14" s="98"/>
      <c r="G14" s="98" t="s">
        <v>225</v>
      </c>
      <c r="H14" s="93" t="s">
        <v>226</v>
      </c>
      <c r="K14" s="97"/>
    </row>
    <row r="15">
      <c r="B15" s="104" t="s">
        <v>227</v>
      </c>
      <c r="C15" s="99" t="s">
        <v>228</v>
      </c>
      <c r="E15" s="107" t="s">
        <v>229</v>
      </c>
      <c r="F15" s="98"/>
      <c r="G15" s="98" t="s">
        <v>230</v>
      </c>
      <c r="H15" s="93" t="s">
        <v>231</v>
      </c>
      <c r="K15" s="97"/>
    </row>
    <row r="16">
      <c r="B16" s="104" t="s">
        <v>232</v>
      </c>
      <c r="C16" s="99" t="s">
        <v>233</v>
      </c>
      <c r="E16" s="107" t="s">
        <v>212</v>
      </c>
      <c r="F16" s="107">
        <v>8.37882169E8</v>
      </c>
      <c r="G16" s="98" t="s">
        <v>234</v>
      </c>
      <c r="H16" s="93" t="s">
        <v>235</v>
      </c>
      <c r="K16" s="97"/>
    </row>
    <row r="17">
      <c r="B17" s="104" t="s">
        <v>236</v>
      </c>
      <c r="C17" s="99" t="s">
        <v>237</v>
      </c>
      <c r="E17" s="98" t="s">
        <v>238</v>
      </c>
      <c r="F17" s="98"/>
      <c r="G17" s="98"/>
      <c r="H17" s="93"/>
      <c r="K17" s="97"/>
    </row>
    <row r="18">
      <c r="B18" s="104" t="s">
        <v>239</v>
      </c>
      <c r="E18" s="98"/>
      <c r="F18" s="98"/>
      <c r="G18" s="98"/>
      <c r="H18" s="93"/>
      <c r="K18" s="97"/>
    </row>
    <row r="19">
      <c r="B19" s="104" t="s">
        <v>240</v>
      </c>
      <c r="E19" s="98"/>
      <c r="F19" s="98"/>
      <c r="G19" s="98"/>
      <c r="H19" s="93"/>
      <c r="K19" s="97"/>
    </row>
    <row r="20">
      <c r="B20" s="104" t="s">
        <v>241</v>
      </c>
      <c r="C20" s="99" t="s">
        <v>242</v>
      </c>
      <c r="E20" s="92"/>
      <c r="F20" s="92"/>
      <c r="H20" s="93"/>
    </row>
    <row r="21" ht="15.75" customHeight="1">
      <c r="B21" s="104" t="s">
        <v>243</v>
      </c>
      <c r="C21" s="99" t="s">
        <v>244</v>
      </c>
      <c r="E21" s="92"/>
      <c r="F21" s="92"/>
      <c r="H21" s="93"/>
    </row>
    <row r="22" ht="15.75" customHeight="1">
      <c r="B22" s="104" t="s">
        <v>245</v>
      </c>
      <c r="E22" s="92" t="s">
        <v>212</v>
      </c>
      <c r="F22" s="92"/>
      <c r="G22" s="99" t="s">
        <v>246</v>
      </c>
      <c r="H22" s="93" t="s">
        <v>247</v>
      </c>
      <c r="J22" s="99" t="s">
        <v>248</v>
      </c>
      <c r="K22" s="99" t="s">
        <v>249</v>
      </c>
    </row>
    <row r="23" ht="15.75" customHeight="1">
      <c r="B23" s="99" t="s">
        <v>250</v>
      </c>
      <c r="C23" s="108" t="s">
        <v>251</v>
      </c>
      <c r="E23" s="92" t="s">
        <v>252</v>
      </c>
      <c r="F23" s="92" t="s">
        <v>253</v>
      </c>
      <c r="G23" s="98" t="s">
        <v>254</v>
      </c>
      <c r="H23" s="93" t="s">
        <v>255</v>
      </c>
      <c r="K23" s="99" t="s">
        <v>190</v>
      </c>
    </row>
    <row r="24" ht="15.75" customHeight="1">
      <c r="B24" s="99" t="s">
        <v>256</v>
      </c>
      <c r="E24" s="92" t="s">
        <v>257</v>
      </c>
      <c r="F24" s="92"/>
      <c r="G24" s="98" t="s">
        <v>258</v>
      </c>
      <c r="H24" s="93" t="s">
        <v>259</v>
      </c>
      <c r="K24" s="99" t="s">
        <v>190</v>
      </c>
    </row>
    <row r="25" ht="15.75" customHeight="1">
      <c r="B25" s="99" t="s">
        <v>260</v>
      </c>
      <c r="E25" s="92" t="s">
        <v>261</v>
      </c>
      <c r="F25" s="92"/>
      <c r="G25" s="98" t="s">
        <v>262</v>
      </c>
      <c r="H25" s="93" t="s">
        <v>263</v>
      </c>
      <c r="K25" s="99" t="s">
        <v>190</v>
      </c>
    </row>
    <row r="26" ht="15.75" customHeight="1">
      <c r="B26" s="99" t="s">
        <v>264</v>
      </c>
      <c r="C26" s="99" t="s">
        <v>265</v>
      </c>
      <c r="E26" s="92" t="s">
        <v>266</v>
      </c>
      <c r="F26" s="92"/>
      <c r="G26" s="98" t="s">
        <v>267</v>
      </c>
      <c r="H26" s="93" t="s">
        <v>268</v>
      </c>
      <c r="J26" s="99" t="s">
        <v>269</v>
      </c>
    </row>
    <row r="27" ht="15.75" customHeight="1">
      <c r="B27" s="99" t="s">
        <v>270</v>
      </c>
      <c r="C27" s="99" t="s">
        <v>271</v>
      </c>
      <c r="E27" s="92" t="s">
        <v>272</v>
      </c>
      <c r="F27" s="92"/>
      <c r="G27" s="99" t="s">
        <v>273</v>
      </c>
      <c r="H27" s="109" t="s">
        <v>274</v>
      </c>
      <c r="J27" s="99" t="s">
        <v>275</v>
      </c>
    </row>
    <row r="28" ht="15.75" customHeight="1">
      <c r="B28" s="99" t="s">
        <v>276</v>
      </c>
      <c r="C28" s="99" t="s">
        <v>277</v>
      </c>
      <c r="E28" s="92" t="s">
        <v>278</v>
      </c>
      <c r="F28" s="92" t="s">
        <v>279</v>
      </c>
      <c r="H28" s="93" t="s">
        <v>280</v>
      </c>
      <c r="J28" s="99" t="s">
        <v>281</v>
      </c>
    </row>
    <row r="29" ht="15.75" customHeight="1">
      <c r="B29" s="99" t="s">
        <v>282</v>
      </c>
      <c r="C29" s="99" t="s">
        <v>283</v>
      </c>
      <c r="E29" s="92" t="s">
        <v>284</v>
      </c>
      <c r="F29" s="92"/>
      <c r="G29" s="98" t="s">
        <v>285</v>
      </c>
      <c r="H29" s="93" t="s">
        <v>286</v>
      </c>
      <c r="J29" s="99" t="s">
        <v>287</v>
      </c>
      <c r="K29" s="99" t="s">
        <v>288</v>
      </c>
    </row>
    <row r="30" ht="15.75" customHeight="1">
      <c r="B30" s="99" t="s">
        <v>289</v>
      </c>
      <c r="E30" s="92" t="s">
        <v>290</v>
      </c>
      <c r="F30" s="92"/>
      <c r="G30" s="93" t="s">
        <v>291</v>
      </c>
      <c r="H30" s="93" t="s">
        <v>292</v>
      </c>
      <c r="J30" s="99" t="s">
        <v>293</v>
      </c>
      <c r="K30" s="99" t="s">
        <v>294</v>
      </c>
    </row>
    <row r="31" ht="15.75" customHeight="1">
      <c r="B31" s="99" t="s">
        <v>295</v>
      </c>
      <c r="C31" s="99" t="s">
        <v>296</v>
      </c>
      <c r="E31" s="92" t="s">
        <v>297</v>
      </c>
      <c r="F31" s="92"/>
      <c r="G31" s="98" t="s">
        <v>298</v>
      </c>
      <c r="H31" s="93" t="s">
        <v>299</v>
      </c>
      <c r="K31" s="99" t="s">
        <v>300</v>
      </c>
    </row>
    <row r="32" ht="15.75" customHeight="1">
      <c r="B32" s="99" t="s">
        <v>301</v>
      </c>
      <c r="C32" s="99" t="s">
        <v>271</v>
      </c>
      <c r="E32" s="110" t="s">
        <v>302</v>
      </c>
      <c r="F32" s="92"/>
      <c r="G32" s="110" t="s">
        <v>303</v>
      </c>
      <c r="H32" s="93" t="s">
        <v>304</v>
      </c>
      <c r="K32" s="99" t="s">
        <v>305</v>
      </c>
    </row>
    <row r="33" ht="15.75" customHeight="1">
      <c r="A33" s="97"/>
      <c r="B33" s="97" t="s">
        <v>306</v>
      </c>
      <c r="C33" s="97"/>
      <c r="D33" s="97"/>
      <c r="E33" s="92" t="s">
        <v>307</v>
      </c>
      <c r="F33" s="92"/>
      <c r="G33" s="98" t="s">
        <v>308</v>
      </c>
      <c r="H33" s="93" t="s">
        <v>309</v>
      </c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ht="15.75" customHeight="1">
      <c r="A34" s="97"/>
      <c r="B34" s="97"/>
      <c r="C34" s="97"/>
      <c r="D34" s="97"/>
      <c r="E34" s="92"/>
      <c r="F34" s="92"/>
      <c r="G34" s="98"/>
      <c r="H34" s="93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ht="15.75" customHeight="1">
      <c r="E35" s="92"/>
      <c r="F35" s="92"/>
      <c r="H35" s="93"/>
    </row>
    <row r="36" ht="15.75" customHeight="1">
      <c r="A36" s="94"/>
      <c r="B36" s="94" t="s">
        <v>310</v>
      </c>
      <c r="C36" s="94"/>
      <c r="D36" s="94"/>
      <c r="E36" s="95"/>
      <c r="F36" s="95"/>
      <c r="G36" s="94"/>
      <c r="H36" s="96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ht="15.75" customHeight="1">
      <c r="B37" s="99" t="s">
        <v>311</v>
      </c>
      <c r="D37" s="99" t="s">
        <v>312</v>
      </c>
      <c r="E37" s="92" t="s">
        <v>313</v>
      </c>
      <c r="F37" s="92"/>
      <c r="H37" s="93" t="s">
        <v>314</v>
      </c>
      <c r="K37" s="99" t="s">
        <v>315</v>
      </c>
    </row>
    <row r="38" ht="15.75" customHeight="1">
      <c r="B38" s="99" t="s">
        <v>316</v>
      </c>
      <c r="C38" s="99" t="s">
        <v>317</v>
      </c>
      <c r="E38" s="92"/>
      <c r="F38" s="92"/>
      <c r="H38" s="93"/>
      <c r="J38" s="99" t="s">
        <v>318</v>
      </c>
    </row>
    <row r="39" ht="15.75" customHeight="1">
      <c r="B39" s="99" t="s">
        <v>319</v>
      </c>
      <c r="C39" s="99" t="s">
        <v>320</v>
      </c>
      <c r="E39" s="92"/>
      <c r="F39" s="92"/>
      <c r="H39" s="93"/>
      <c r="J39" s="99" t="s">
        <v>318</v>
      </c>
    </row>
    <row r="40" ht="15.75" customHeight="1">
      <c r="B40" s="99" t="s">
        <v>321</v>
      </c>
      <c r="E40" s="92" t="s">
        <v>322</v>
      </c>
      <c r="F40" s="92"/>
      <c r="G40" s="98" t="s">
        <v>323</v>
      </c>
      <c r="H40" s="93" t="s">
        <v>324</v>
      </c>
      <c r="K40" s="99" t="s">
        <v>190</v>
      </c>
    </row>
    <row r="41" ht="15.75" customHeight="1">
      <c r="B41" s="99" t="s">
        <v>325</v>
      </c>
      <c r="C41" s="99" t="s">
        <v>326</v>
      </c>
      <c r="E41" s="92"/>
      <c r="F41" s="92"/>
      <c r="H41" s="93"/>
    </row>
    <row r="42" ht="15.75" customHeight="1">
      <c r="B42" s="99" t="s">
        <v>327</v>
      </c>
      <c r="E42" s="92"/>
      <c r="F42" s="92"/>
      <c r="H42" s="93" t="s">
        <v>328</v>
      </c>
      <c r="J42" s="99" t="s">
        <v>329</v>
      </c>
    </row>
    <row r="43" ht="15.75" customHeight="1">
      <c r="B43" s="99" t="s">
        <v>330</v>
      </c>
      <c r="C43" s="99" t="s">
        <v>331</v>
      </c>
      <c r="E43" s="92"/>
      <c r="F43" s="92"/>
      <c r="H43" s="93" t="s">
        <v>332</v>
      </c>
    </row>
    <row r="44" ht="15.75" customHeight="1">
      <c r="B44" s="99" t="s">
        <v>333</v>
      </c>
      <c r="E44" s="92"/>
      <c r="F44" s="92"/>
      <c r="H44" s="93"/>
    </row>
    <row r="45" ht="15.75" customHeight="1">
      <c r="E45" s="92"/>
      <c r="F45" s="92"/>
      <c r="H45" s="93"/>
    </row>
    <row r="46" ht="15.75" customHeight="1">
      <c r="E46" s="92"/>
      <c r="F46" s="92"/>
      <c r="H46" s="93"/>
    </row>
    <row r="47" ht="15.75" customHeight="1">
      <c r="A47" s="94"/>
      <c r="B47" s="94" t="s">
        <v>334</v>
      </c>
      <c r="C47" s="94"/>
      <c r="D47" s="94"/>
      <c r="E47" s="95"/>
      <c r="F47" s="95"/>
      <c r="G47" s="94"/>
      <c r="H47" s="96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ht="15.75" customHeight="1">
      <c r="B48" s="99" t="s">
        <v>335</v>
      </c>
      <c r="E48" s="92"/>
      <c r="F48" s="92"/>
      <c r="H48" s="93" t="s">
        <v>336</v>
      </c>
    </row>
    <row r="49" ht="15.75" customHeight="1">
      <c r="B49" s="99" t="s">
        <v>337</v>
      </c>
      <c r="C49" s="99" t="s">
        <v>338</v>
      </c>
      <c r="E49" s="92"/>
      <c r="F49" s="92"/>
      <c r="H49" s="93"/>
      <c r="J49" s="99" t="s">
        <v>339</v>
      </c>
    </row>
    <row r="50" ht="15.75" customHeight="1">
      <c r="B50" s="99" t="s">
        <v>340</v>
      </c>
      <c r="E50" s="92"/>
      <c r="F50" s="92"/>
      <c r="H50" s="93"/>
      <c r="J50" s="99" t="s">
        <v>341</v>
      </c>
    </row>
    <row r="51" ht="15.75" customHeight="1">
      <c r="B51" s="99" t="s">
        <v>342</v>
      </c>
      <c r="C51" s="99" t="s">
        <v>343</v>
      </c>
      <c r="E51" s="92"/>
      <c r="F51" s="92"/>
      <c r="H51" s="93"/>
    </row>
    <row r="52" ht="15.75" customHeight="1">
      <c r="B52" s="99" t="s">
        <v>344</v>
      </c>
      <c r="C52" s="99" t="s">
        <v>345</v>
      </c>
      <c r="D52" s="99" t="s">
        <v>346</v>
      </c>
      <c r="E52" s="92"/>
      <c r="F52" s="92"/>
      <c r="H52" s="93"/>
      <c r="J52" s="99" t="s">
        <v>347</v>
      </c>
    </row>
    <row r="53" ht="15.75" customHeight="1">
      <c r="B53" s="99" t="s">
        <v>348</v>
      </c>
      <c r="C53" s="99" t="s">
        <v>271</v>
      </c>
      <c r="D53" s="99" t="s">
        <v>349</v>
      </c>
      <c r="E53" s="92"/>
      <c r="F53" s="92"/>
      <c r="H53" s="93"/>
      <c r="J53" s="99" t="s">
        <v>350</v>
      </c>
    </row>
    <row r="54" ht="15.75" customHeight="1">
      <c r="E54" s="92"/>
      <c r="F54" s="92"/>
      <c r="H54" s="93"/>
    </row>
    <row r="55" ht="15.75" customHeight="1">
      <c r="A55" s="94"/>
      <c r="B55" s="94" t="s">
        <v>351</v>
      </c>
      <c r="C55" s="94"/>
      <c r="D55" s="94"/>
      <c r="E55" s="95"/>
      <c r="F55" s="95"/>
      <c r="G55" s="94"/>
      <c r="H55" s="96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ht="15.75" customHeight="1">
      <c r="E56" s="92"/>
      <c r="F56" s="92"/>
      <c r="H56" s="93"/>
    </row>
    <row r="57" ht="15.75" customHeight="1">
      <c r="B57" s="99" t="s">
        <v>352</v>
      </c>
      <c r="E57" s="92" t="s">
        <v>353</v>
      </c>
      <c r="F57" s="92"/>
      <c r="G57" s="99" t="s">
        <v>354</v>
      </c>
      <c r="H57" s="93" t="s">
        <v>355</v>
      </c>
    </row>
    <row r="58" ht="15.75" customHeight="1">
      <c r="B58" s="99" t="s">
        <v>356</v>
      </c>
      <c r="E58" s="92" t="s">
        <v>357</v>
      </c>
      <c r="F58" s="92"/>
      <c r="G58" s="98" t="s">
        <v>358</v>
      </c>
      <c r="H58" s="93" t="s">
        <v>359</v>
      </c>
      <c r="J58" s="99" t="s">
        <v>360</v>
      </c>
    </row>
    <row r="59" ht="15.75" customHeight="1">
      <c r="B59" s="99" t="s">
        <v>361</v>
      </c>
      <c r="E59" s="92" t="s">
        <v>362</v>
      </c>
      <c r="F59" s="92"/>
      <c r="H59" s="93" t="s">
        <v>363</v>
      </c>
    </row>
    <row r="60" ht="15.75" customHeight="1">
      <c r="B60" s="99" t="s">
        <v>364</v>
      </c>
      <c r="E60" s="92" t="s">
        <v>365</v>
      </c>
      <c r="F60" s="92"/>
      <c r="G60" s="99" t="s">
        <v>366</v>
      </c>
      <c r="H60" s="93" t="s">
        <v>367</v>
      </c>
    </row>
    <row r="61" ht="15.75" customHeight="1">
      <c r="B61" s="99" t="s">
        <v>368</v>
      </c>
      <c r="E61" s="92" t="s">
        <v>369</v>
      </c>
      <c r="F61" s="92"/>
      <c r="G61" s="99" t="s">
        <v>370</v>
      </c>
      <c r="H61" s="93" t="s">
        <v>371</v>
      </c>
    </row>
    <row r="62" ht="15.75" customHeight="1">
      <c r="B62" s="99" t="s">
        <v>372</v>
      </c>
      <c r="E62" s="92" t="s">
        <v>373</v>
      </c>
      <c r="F62" s="92"/>
      <c r="G62" s="99" t="s">
        <v>366</v>
      </c>
      <c r="H62" s="93" t="s">
        <v>374</v>
      </c>
    </row>
    <row r="63" ht="15.75" customHeight="1">
      <c r="B63" s="99" t="s">
        <v>375</v>
      </c>
      <c r="E63" s="92" t="s">
        <v>376</v>
      </c>
      <c r="F63" s="92"/>
      <c r="G63" s="99" t="s">
        <v>377</v>
      </c>
      <c r="H63" s="93" t="s">
        <v>378</v>
      </c>
    </row>
    <row r="64" ht="15.75" customHeight="1">
      <c r="B64" s="99" t="s">
        <v>379</v>
      </c>
      <c r="E64" s="92"/>
      <c r="F64" s="92"/>
      <c r="H64" s="93" t="s">
        <v>380</v>
      </c>
    </row>
    <row r="65" ht="15.75" customHeight="1">
      <c r="B65" s="99" t="s">
        <v>381</v>
      </c>
      <c r="E65" s="92"/>
      <c r="F65" s="92"/>
      <c r="H65" s="93" t="s">
        <v>382</v>
      </c>
    </row>
    <row r="66" ht="15.75" customHeight="1">
      <c r="B66" s="99" t="s">
        <v>383</v>
      </c>
      <c r="E66" s="92" t="s">
        <v>384</v>
      </c>
      <c r="F66" s="92" t="s">
        <v>385</v>
      </c>
      <c r="G66" s="99" t="s">
        <v>386</v>
      </c>
      <c r="H66" s="93" t="s">
        <v>387</v>
      </c>
    </row>
    <row r="67" ht="15.75" customHeight="1">
      <c r="B67" s="99" t="s">
        <v>388</v>
      </c>
      <c r="D67" s="99" t="s">
        <v>389</v>
      </c>
      <c r="E67" s="92" t="s">
        <v>390</v>
      </c>
      <c r="F67" s="92" t="s">
        <v>391</v>
      </c>
      <c r="G67" s="99" t="s">
        <v>392</v>
      </c>
      <c r="H67" s="93" t="s">
        <v>393</v>
      </c>
    </row>
    <row r="68" ht="15.75" customHeight="1">
      <c r="B68" s="99" t="s">
        <v>394</v>
      </c>
      <c r="E68" s="92" t="s">
        <v>395</v>
      </c>
      <c r="F68" s="92"/>
      <c r="G68" s="99" t="s">
        <v>396</v>
      </c>
      <c r="H68" s="93" t="s">
        <v>397</v>
      </c>
    </row>
    <row r="69" ht="15.75" customHeight="1">
      <c r="B69" s="99" t="s">
        <v>398</v>
      </c>
      <c r="E69" s="92" t="s">
        <v>399</v>
      </c>
      <c r="F69" s="92"/>
      <c r="H69" s="93" t="s">
        <v>400</v>
      </c>
    </row>
    <row r="70" ht="15.75" customHeight="1">
      <c r="B70" s="99" t="s">
        <v>401</v>
      </c>
      <c r="E70" s="92" t="s">
        <v>402</v>
      </c>
      <c r="F70" s="92" t="s">
        <v>403</v>
      </c>
      <c r="G70" s="99" t="s">
        <v>404</v>
      </c>
      <c r="H70" s="93" t="s">
        <v>405</v>
      </c>
    </row>
    <row r="71" ht="15.75" customHeight="1">
      <c r="B71" s="99" t="s">
        <v>406</v>
      </c>
      <c r="E71" s="92" t="s">
        <v>407</v>
      </c>
      <c r="F71" s="92"/>
      <c r="H71" s="93" t="s">
        <v>408</v>
      </c>
    </row>
    <row r="72" ht="15.75" customHeight="1">
      <c r="B72" s="99" t="s">
        <v>409</v>
      </c>
      <c r="E72" s="92" t="s">
        <v>410</v>
      </c>
      <c r="F72" s="92"/>
      <c r="G72" s="99" t="s">
        <v>411</v>
      </c>
      <c r="H72" s="93" t="s">
        <v>412</v>
      </c>
    </row>
    <row r="73" ht="15.75" customHeight="1">
      <c r="B73" s="99" t="s">
        <v>413</v>
      </c>
      <c r="E73" s="92"/>
      <c r="F73" s="92"/>
      <c r="H73" s="93" t="s">
        <v>414</v>
      </c>
    </row>
    <row r="74" ht="15.75" customHeight="1">
      <c r="B74" s="99" t="s">
        <v>415</v>
      </c>
      <c r="D74" s="99" t="s">
        <v>416</v>
      </c>
      <c r="E74" s="92" t="s">
        <v>417</v>
      </c>
      <c r="F74" s="92"/>
      <c r="G74" s="98" t="s">
        <v>418</v>
      </c>
      <c r="H74" s="93" t="s">
        <v>419</v>
      </c>
    </row>
    <row r="75" ht="15.75" customHeight="1">
      <c r="B75" s="99" t="s">
        <v>420</v>
      </c>
      <c r="D75" s="99" t="s">
        <v>421</v>
      </c>
      <c r="E75" s="92" t="s">
        <v>422</v>
      </c>
      <c r="F75" s="92" t="s">
        <v>423</v>
      </c>
      <c r="G75" s="99" t="s">
        <v>424</v>
      </c>
      <c r="H75" s="93" t="s">
        <v>425</v>
      </c>
    </row>
    <row r="76" ht="15.75" customHeight="1">
      <c r="B76" s="99" t="s">
        <v>426</v>
      </c>
      <c r="D76" s="99" t="s">
        <v>427</v>
      </c>
      <c r="E76" s="92" t="s">
        <v>428</v>
      </c>
      <c r="F76" s="92"/>
      <c r="G76" s="99" t="s">
        <v>429</v>
      </c>
      <c r="H76" s="93" t="s">
        <v>430</v>
      </c>
    </row>
    <row r="77" ht="15.75" customHeight="1">
      <c r="B77" s="99" t="s">
        <v>431</v>
      </c>
      <c r="D77" s="99" t="s">
        <v>432</v>
      </c>
      <c r="E77" s="92" t="s">
        <v>433</v>
      </c>
      <c r="F77" s="92" t="s">
        <v>434</v>
      </c>
      <c r="G77" s="99" t="s">
        <v>435</v>
      </c>
      <c r="H77" s="93" t="s">
        <v>436</v>
      </c>
    </row>
    <row r="78" ht="15.75" customHeight="1">
      <c r="B78" s="99" t="s">
        <v>437</v>
      </c>
      <c r="E78" s="92"/>
      <c r="F78" s="92"/>
      <c r="G78" s="98" t="s">
        <v>438</v>
      </c>
      <c r="H78" s="93" t="s">
        <v>439</v>
      </c>
    </row>
    <row r="79" ht="15.75" customHeight="1">
      <c r="B79" s="99" t="s">
        <v>440</v>
      </c>
      <c r="E79" s="92" t="s">
        <v>441</v>
      </c>
      <c r="F79" s="92"/>
      <c r="G79" s="98" t="s">
        <v>442</v>
      </c>
      <c r="H79" s="93" t="s">
        <v>443</v>
      </c>
    </row>
    <row r="80" ht="15.75" customHeight="1">
      <c r="B80" s="99" t="s">
        <v>444</v>
      </c>
      <c r="D80" s="99" t="s">
        <v>445</v>
      </c>
      <c r="E80" s="92" t="s">
        <v>446</v>
      </c>
      <c r="F80" s="92" t="s">
        <v>447</v>
      </c>
      <c r="G80" s="99" t="s">
        <v>448</v>
      </c>
      <c r="H80" s="93" t="s">
        <v>449</v>
      </c>
    </row>
    <row r="81" ht="15.75" customHeight="1">
      <c r="B81" s="99" t="s">
        <v>450</v>
      </c>
      <c r="E81" s="92" t="s">
        <v>451</v>
      </c>
      <c r="F81" s="92"/>
      <c r="G81" s="99" t="s">
        <v>452</v>
      </c>
      <c r="H81" s="93" t="s">
        <v>453</v>
      </c>
    </row>
    <row r="82" ht="15.75" customHeight="1">
      <c r="B82" s="99" t="s">
        <v>454</v>
      </c>
      <c r="E82" s="92" t="s">
        <v>455</v>
      </c>
      <c r="F82" s="92"/>
      <c r="H82" s="93" t="s">
        <v>456</v>
      </c>
    </row>
    <row r="83" ht="15.75" customHeight="1">
      <c r="B83" s="99" t="s">
        <v>457</v>
      </c>
      <c r="E83" s="92" t="s">
        <v>458</v>
      </c>
      <c r="F83" s="92"/>
      <c r="H83" s="93" t="s">
        <v>459</v>
      </c>
    </row>
    <row r="84" ht="15.75" customHeight="1">
      <c r="B84" s="99" t="s">
        <v>460</v>
      </c>
      <c r="E84" s="92" t="s">
        <v>461</v>
      </c>
      <c r="F84" s="92"/>
      <c r="H84" s="93" t="s">
        <v>462</v>
      </c>
    </row>
    <row r="85" ht="15.75" customHeight="1">
      <c r="B85" s="99" t="s">
        <v>463</v>
      </c>
      <c r="E85" s="92" t="s">
        <v>464</v>
      </c>
      <c r="F85" s="92"/>
      <c r="H85" s="93" t="s">
        <v>465</v>
      </c>
    </row>
    <row r="86" ht="15.75" customHeight="1">
      <c r="B86" s="99" t="s">
        <v>466</v>
      </c>
      <c r="D86" s="99" t="s">
        <v>467</v>
      </c>
      <c r="E86" s="92" t="s">
        <v>468</v>
      </c>
      <c r="F86" s="92"/>
      <c r="H86" s="93" t="s">
        <v>469</v>
      </c>
    </row>
    <row r="87" ht="15.75" customHeight="1">
      <c r="B87" s="99" t="s">
        <v>470</v>
      </c>
      <c r="E87" s="92" t="s">
        <v>471</v>
      </c>
      <c r="F87" s="92"/>
      <c r="G87" s="99" t="s">
        <v>472</v>
      </c>
      <c r="H87" s="93" t="s">
        <v>473</v>
      </c>
    </row>
    <row r="88" ht="15.75" customHeight="1">
      <c r="B88" s="99" t="s">
        <v>474</v>
      </c>
      <c r="E88" s="92" t="s">
        <v>475</v>
      </c>
      <c r="F88" s="92"/>
      <c r="G88" s="99" t="s">
        <v>476</v>
      </c>
      <c r="H88" s="93" t="s">
        <v>477</v>
      </c>
    </row>
    <row r="89" ht="15.75" customHeight="1">
      <c r="B89" s="99" t="s">
        <v>478</v>
      </c>
      <c r="E89" s="111" t="s">
        <v>479</v>
      </c>
      <c r="F89" s="92"/>
      <c r="G89" s="99" t="s">
        <v>480</v>
      </c>
      <c r="H89" s="93" t="s">
        <v>481</v>
      </c>
    </row>
    <row r="90" ht="15.75" customHeight="1">
      <c r="B90" s="99" t="s">
        <v>482</v>
      </c>
      <c r="D90" s="99" t="s">
        <v>483</v>
      </c>
      <c r="E90" s="111" t="s">
        <v>484</v>
      </c>
      <c r="F90" s="92"/>
      <c r="G90" s="99" t="s">
        <v>485</v>
      </c>
      <c r="H90" s="93" t="s">
        <v>486</v>
      </c>
    </row>
    <row r="91" ht="15.75" customHeight="1">
      <c r="B91" s="99" t="s">
        <v>487</v>
      </c>
      <c r="E91" s="92"/>
      <c r="F91" s="92"/>
      <c r="H91" s="93" t="s">
        <v>488</v>
      </c>
    </row>
    <row r="92" ht="15.75" customHeight="1">
      <c r="B92" s="99" t="s">
        <v>489</v>
      </c>
      <c r="E92" s="92" t="s">
        <v>490</v>
      </c>
      <c r="F92" s="92"/>
      <c r="G92" s="99" t="s">
        <v>491</v>
      </c>
      <c r="H92" s="93" t="s">
        <v>492</v>
      </c>
    </row>
    <row r="93" ht="15.75" customHeight="1">
      <c r="B93" s="99" t="s">
        <v>493</v>
      </c>
      <c r="E93" s="92"/>
      <c r="F93" s="92"/>
      <c r="H93" s="93" t="s">
        <v>380</v>
      </c>
    </row>
    <row r="94" ht="15.75" customHeight="1">
      <c r="B94" s="99" t="s">
        <v>494</v>
      </c>
      <c r="E94" s="92" t="s">
        <v>495</v>
      </c>
      <c r="F94" s="92"/>
      <c r="G94" s="99" t="s">
        <v>496</v>
      </c>
      <c r="H94" s="93" t="s">
        <v>497</v>
      </c>
    </row>
    <row r="95" ht="15.75" customHeight="1">
      <c r="B95" s="99" t="s">
        <v>498</v>
      </c>
      <c r="E95" s="92"/>
      <c r="F95" s="92"/>
      <c r="H95" s="93" t="s">
        <v>499</v>
      </c>
    </row>
    <row r="96" ht="15.75" customHeight="1">
      <c r="B96" s="99" t="s">
        <v>500</v>
      </c>
      <c r="E96" s="92"/>
      <c r="F96" s="92"/>
      <c r="H96" s="93" t="s">
        <v>488</v>
      </c>
    </row>
    <row r="97" ht="15.75" customHeight="1">
      <c r="B97" s="99" t="s">
        <v>501</v>
      </c>
      <c r="E97" s="92" t="s">
        <v>502</v>
      </c>
      <c r="F97" s="92"/>
      <c r="H97" s="93" t="s">
        <v>503</v>
      </c>
    </row>
    <row r="98" ht="15.75" customHeight="1">
      <c r="B98" s="99" t="s">
        <v>504</v>
      </c>
      <c r="E98" s="92"/>
      <c r="F98" s="92"/>
      <c r="H98" s="93" t="s">
        <v>505</v>
      </c>
      <c r="J98" s="99" t="s">
        <v>506</v>
      </c>
    </row>
    <row r="99" ht="15.75" customHeight="1">
      <c r="B99" s="99" t="s">
        <v>507</v>
      </c>
      <c r="E99" s="92"/>
      <c r="F99" s="92"/>
      <c r="H99" s="93" t="s">
        <v>488</v>
      </c>
    </row>
    <row r="100" ht="15.75" customHeight="1">
      <c r="B100" s="99" t="s">
        <v>508</v>
      </c>
      <c r="E100" s="92" t="s">
        <v>509</v>
      </c>
      <c r="F100" s="92" t="s">
        <v>510</v>
      </c>
      <c r="G100" s="99" t="s">
        <v>511</v>
      </c>
      <c r="H100" s="93" t="s">
        <v>512</v>
      </c>
    </row>
    <row r="101" ht="15.75" customHeight="1">
      <c r="B101" s="99" t="s">
        <v>513</v>
      </c>
      <c r="E101" s="92"/>
      <c r="F101" s="92"/>
      <c r="H101" s="93" t="s">
        <v>514</v>
      </c>
    </row>
    <row r="102" ht="15.75" customHeight="1">
      <c r="B102" s="99" t="s">
        <v>515</v>
      </c>
      <c r="E102" s="92"/>
      <c r="F102" s="92"/>
      <c r="H102" s="93" t="s">
        <v>488</v>
      </c>
    </row>
    <row r="103" ht="15.75" customHeight="1">
      <c r="B103" s="99" t="s">
        <v>516</v>
      </c>
      <c r="E103" s="92"/>
      <c r="F103" s="92"/>
      <c r="H103" s="93" t="s">
        <v>517</v>
      </c>
    </row>
    <row r="104" ht="15.75" customHeight="1">
      <c r="B104" s="99" t="s">
        <v>518</v>
      </c>
      <c r="D104" s="99" t="s">
        <v>519</v>
      </c>
      <c r="E104" s="92" t="s">
        <v>520</v>
      </c>
      <c r="F104" s="92"/>
      <c r="G104" s="99" t="s">
        <v>521</v>
      </c>
      <c r="H104" s="93" t="s">
        <v>522</v>
      </c>
    </row>
    <row r="105" ht="15.75" customHeight="1">
      <c r="B105" s="99" t="s">
        <v>523</v>
      </c>
      <c r="D105" s="99" t="s">
        <v>524</v>
      </c>
      <c r="E105" s="92" t="s">
        <v>525</v>
      </c>
      <c r="F105" s="92"/>
      <c r="G105" s="99" t="s">
        <v>526</v>
      </c>
      <c r="H105" s="93" t="s">
        <v>527</v>
      </c>
    </row>
    <row r="106" ht="15.75" customHeight="1">
      <c r="B106" s="99" t="s">
        <v>528</v>
      </c>
      <c r="E106" s="92"/>
      <c r="F106" s="92"/>
      <c r="H106" s="93" t="s">
        <v>414</v>
      </c>
    </row>
    <row r="107" ht="15.75" customHeight="1">
      <c r="B107" s="99" t="s">
        <v>529</v>
      </c>
      <c r="E107" s="92" t="s">
        <v>530</v>
      </c>
      <c r="F107" s="92" t="s">
        <v>531</v>
      </c>
      <c r="G107" s="99" t="s">
        <v>532</v>
      </c>
      <c r="H107" s="93"/>
    </row>
    <row r="108" ht="15.75" customHeight="1">
      <c r="B108" s="99" t="s">
        <v>533</v>
      </c>
      <c r="E108" s="92" t="s">
        <v>534</v>
      </c>
      <c r="F108" s="92" t="s">
        <v>535</v>
      </c>
      <c r="G108" s="99" t="s">
        <v>536</v>
      </c>
      <c r="H108" s="93"/>
    </row>
    <row r="109" ht="15.75" customHeight="1">
      <c r="B109" s="99" t="s">
        <v>537</v>
      </c>
      <c r="E109" s="92" t="s">
        <v>538</v>
      </c>
      <c r="F109" s="92" t="s">
        <v>539</v>
      </c>
      <c r="G109" s="99" t="s">
        <v>540</v>
      </c>
      <c r="H109" s="93"/>
    </row>
    <row r="110" ht="15.75" customHeight="1">
      <c r="B110" s="99" t="s">
        <v>541</v>
      </c>
      <c r="E110" s="92" t="s">
        <v>531</v>
      </c>
      <c r="F110" s="92" t="s">
        <v>530</v>
      </c>
      <c r="G110" s="99" t="s">
        <v>532</v>
      </c>
      <c r="H110" s="93"/>
    </row>
    <row r="111" ht="15.75" customHeight="1">
      <c r="B111" s="99" t="s">
        <v>542</v>
      </c>
      <c r="E111" s="92"/>
      <c r="F111" s="92"/>
      <c r="H111" s="93" t="s">
        <v>543</v>
      </c>
    </row>
    <row r="112" ht="15.75" customHeight="1">
      <c r="B112" s="99" t="s">
        <v>544</v>
      </c>
      <c r="E112" s="92" t="s">
        <v>545</v>
      </c>
      <c r="F112" s="92" t="s">
        <v>546</v>
      </c>
      <c r="G112" s="99" t="s">
        <v>547</v>
      </c>
      <c r="H112" s="93" t="s">
        <v>548</v>
      </c>
    </row>
    <row r="113" ht="15.75" customHeight="1">
      <c r="B113" s="99" t="s">
        <v>549</v>
      </c>
      <c r="E113" s="92" t="s">
        <v>550</v>
      </c>
      <c r="F113" s="92"/>
      <c r="G113" s="99" t="s">
        <v>551</v>
      </c>
      <c r="H113" s="93" t="s">
        <v>552</v>
      </c>
    </row>
    <row r="114" ht="15.75" customHeight="1">
      <c r="B114" s="99" t="s">
        <v>553</v>
      </c>
      <c r="E114" s="92"/>
      <c r="F114" s="92"/>
      <c r="H114" s="93" t="s">
        <v>414</v>
      </c>
    </row>
    <row r="115" ht="15.75" customHeight="1">
      <c r="B115" s="99" t="s">
        <v>554</v>
      </c>
      <c r="E115" s="92"/>
      <c r="F115" s="92"/>
      <c r="H115" s="93" t="s">
        <v>555</v>
      </c>
    </row>
    <row r="116" ht="15.75" customHeight="1">
      <c r="B116" s="99" t="s">
        <v>556</v>
      </c>
      <c r="E116" s="92"/>
      <c r="F116" s="92"/>
      <c r="H116" s="93" t="s">
        <v>488</v>
      </c>
    </row>
    <row r="117" ht="15.75" customHeight="1">
      <c r="B117" s="99" t="s">
        <v>557</v>
      </c>
      <c r="E117" s="92"/>
      <c r="F117" s="92"/>
      <c r="H117" s="93" t="s">
        <v>558</v>
      </c>
    </row>
    <row r="118" ht="15.75" customHeight="1">
      <c r="B118" s="99" t="s">
        <v>559</v>
      </c>
      <c r="E118" s="92"/>
      <c r="F118" s="92"/>
      <c r="H118" s="93" t="s">
        <v>560</v>
      </c>
    </row>
    <row r="119" ht="15.75" customHeight="1">
      <c r="B119" s="99" t="s">
        <v>561</v>
      </c>
      <c r="D119" s="99" t="s">
        <v>562</v>
      </c>
      <c r="E119" s="92" t="s">
        <v>563</v>
      </c>
      <c r="F119" s="99" t="s">
        <v>564</v>
      </c>
      <c r="G119" s="99" t="s">
        <v>565</v>
      </c>
      <c r="H119" s="93" t="s">
        <v>566</v>
      </c>
    </row>
    <row r="120" ht="15.75" customHeight="1">
      <c r="B120" s="99" t="s">
        <v>567</v>
      </c>
      <c r="E120" s="92" t="s">
        <v>568</v>
      </c>
      <c r="F120" s="92" t="s">
        <v>569</v>
      </c>
      <c r="G120" s="98" t="s">
        <v>570</v>
      </c>
      <c r="H120" s="93" t="s">
        <v>571</v>
      </c>
    </row>
    <row r="121" ht="15.75" customHeight="1">
      <c r="B121" s="99" t="s">
        <v>572</v>
      </c>
      <c r="E121" s="92" t="s">
        <v>573</v>
      </c>
      <c r="F121" s="92"/>
      <c r="G121" s="98" t="s">
        <v>574</v>
      </c>
      <c r="H121" s="93" t="s">
        <v>575</v>
      </c>
    </row>
    <row r="122" ht="15.75" customHeight="1">
      <c r="B122" s="99" t="s">
        <v>576</v>
      </c>
      <c r="E122" s="92"/>
      <c r="F122" s="92"/>
      <c r="H122" s="93" t="s">
        <v>577</v>
      </c>
    </row>
    <row r="123" ht="15.75" customHeight="1">
      <c r="B123" s="99" t="s">
        <v>578</v>
      </c>
      <c r="D123" s="99" t="s">
        <v>579</v>
      </c>
      <c r="E123" s="92" t="s">
        <v>580</v>
      </c>
      <c r="F123" s="92"/>
      <c r="H123" s="93" t="s">
        <v>581</v>
      </c>
    </row>
    <row r="124" ht="15.75" customHeight="1">
      <c r="B124" s="99" t="s">
        <v>582</v>
      </c>
      <c r="E124" s="92"/>
      <c r="F124" s="92"/>
      <c r="H124" s="93" t="s">
        <v>577</v>
      </c>
    </row>
    <row r="125" ht="15.75" customHeight="1">
      <c r="B125" s="99" t="s">
        <v>583</v>
      </c>
      <c r="E125" s="92"/>
      <c r="F125" s="92"/>
      <c r="H125" s="93" t="s">
        <v>584</v>
      </c>
    </row>
    <row r="126" ht="15.75" customHeight="1">
      <c r="B126" s="99" t="s">
        <v>585</v>
      </c>
      <c r="E126" s="92" t="s">
        <v>586</v>
      </c>
      <c r="F126" s="92"/>
      <c r="G126" s="99" t="s">
        <v>587</v>
      </c>
      <c r="H126" s="93" t="s">
        <v>588</v>
      </c>
    </row>
    <row r="127" ht="15.75" customHeight="1">
      <c r="B127" s="99" t="s">
        <v>589</v>
      </c>
      <c r="E127" s="92" t="s">
        <v>590</v>
      </c>
      <c r="F127" s="92" t="s">
        <v>591</v>
      </c>
      <c r="G127" s="99" t="s">
        <v>592</v>
      </c>
      <c r="H127" s="93" t="s">
        <v>593</v>
      </c>
    </row>
    <row r="128" ht="15.75" customHeight="1">
      <c r="B128" s="99" t="s">
        <v>594</v>
      </c>
      <c r="E128" s="92"/>
      <c r="F128" s="92"/>
      <c r="H128" s="93" t="s">
        <v>488</v>
      </c>
      <c r="J128" s="99" t="s">
        <v>595</v>
      </c>
    </row>
    <row r="129" ht="15.75" customHeight="1">
      <c r="B129" s="99" t="s">
        <v>596</v>
      </c>
      <c r="E129" s="92"/>
      <c r="F129" s="92"/>
      <c r="H129" s="93" t="s">
        <v>514</v>
      </c>
    </row>
    <row r="130" ht="15.75" customHeight="1">
      <c r="B130" s="99" t="s">
        <v>597</v>
      </c>
      <c r="E130" s="92" t="s">
        <v>598</v>
      </c>
      <c r="F130" s="92"/>
      <c r="G130" s="99" t="s">
        <v>599</v>
      </c>
      <c r="H130" s="93" t="s">
        <v>600</v>
      </c>
    </row>
    <row r="131" ht="15.75" customHeight="1">
      <c r="B131" s="99" t="s">
        <v>601</v>
      </c>
      <c r="E131" s="92" t="s">
        <v>602</v>
      </c>
      <c r="F131" s="92"/>
      <c r="G131" s="99" t="s">
        <v>366</v>
      </c>
      <c r="H131" s="93" t="s">
        <v>603</v>
      </c>
    </row>
    <row r="132" ht="15.75" customHeight="1">
      <c r="B132" s="99" t="s">
        <v>604</v>
      </c>
      <c r="D132" s="99" t="s">
        <v>605</v>
      </c>
      <c r="E132" s="92" t="s">
        <v>606</v>
      </c>
      <c r="F132" s="92" t="s">
        <v>607</v>
      </c>
      <c r="G132" s="99" t="s">
        <v>608</v>
      </c>
      <c r="H132" s="93" t="s">
        <v>609</v>
      </c>
    </row>
    <row r="133" ht="15.75" customHeight="1">
      <c r="B133" s="99" t="s">
        <v>610</v>
      </c>
      <c r="E133" s="92" t="s">
        <v>611</v>
      </c>
      <c r="F133" s="92" t="s">
        <v>612</v>
      </c>
      <c r="G133" s="99" t="s">
        <v>613</v>
      </c>
      <c r="H133" s="93" t="s">
        <v>614</v>
      </c>
    </row>
    <row r="134" ht="15.75" customHeight="1">
      <c r="B134" s="99" t="s">
        <v>615</v>
      </c>
      <c r="E134" s="92"/>
      <c r="F134" s="92"/>
      <c r="H134" s="93" t="s">
        <v>616</v>
      </c>
    </row>
    <row r="135" ht="15.75" customHeight="1">
      <c r="B135" s="99" t="s">
        <v>617</v>
      </c>
      <c r="E135" s="92" t="s">
        <v>618</v>
      </c>
      <c r="F135" s="92"/>
      <c r="H135" s="93" t="s">
        <v>619</v>
      </c>
    </row>
    <row r="136" ht="15.75" customHeight="1">
      <c r="B136" s="99" t="s">
        <v>620</v>
      </c>
      <c r="E136" s="92" t="s">
        <v>621</v>
      </c>
      <c r="F136" s="92"/>
      <c r="G136" s="99" t="s">
        <v>622</v>
      </c>
      <c r="H136" s="93" t="s">
        <v>623</v>
      </c>
    </row>
    <row r="137" ht="15.75" customHeight="1">
      <c r="B137" s="99" t="s">
        <v>624</v>
      </c>
      <c r="E137" s="92" t="s">
        <v>625</v>
      </c>
      <c r="F137" s="92"/>
      <c r="G137" s="99" t="s">
        <v>626</v>
      </c>
      <c r="H137" s="93" t="s">
        <v>627</v>
      </c>
    </row>
    <row r="138" ht="15.75" customHeight="1">
      <c r="B138" s="99" t="s">
        <v>628</v>
      </c>
      <c r="E138" s="92" t="s">
        <v>629</v>
      </c>
      <c r="F138" s="92"/>
      <c r="H138" s="93" t="s">
        <v>630</v>
      </c>
    </row>
    <row r="139" ht="15.75" customHeight="1">
      <c r="B139" s="99" t="s">
        <v>631</v>
      </c>
      <c r="E139" s="92"/>
      <c r="F139" s="92"/>
      <c r="H139" s="93" t="s">
        <v>488</v>
      </c>
    </row>
    <row r="140" ht="15.75" customHeight="1">
      <c r="B140" s="99" t="s">
        <v>632</v>
      </c>
      <c r="E140" s="92" t="s">
        <v>633</v>
      </c>
      <c r="F140" s="92"/>
      <c r="H140" s="93" t="s">
        <v>634</v>
      </c>
    </row>
    <row r="141" ht="15.75" customHeight="1">
      <c r="B141" s="99" t="s">
        <v>635</v>
      </c>
      <c r="E141" s="92"/>
      <c r="F141" s="92"/>
      <c r="H141" s="93" t="s">
        <v>543</v>
      </c>
    </row>
    <row r="142" ht="15.75" customHeight="1">
      <c r="B142" s="99" t="s">
        <v>636</v>
      </c>
      <c r="E142" s="92"/>
      <c r="F142" s="92" t="s">
        <v>637</v>
      </c>
      <c r="G142" s="98" t="s">
        <v>638</v>
      </c>
      <c r="H142" s="93" t="s">
        <v>639</v>
      </c>
    </row>
    <row r="143" ht="12.0" customHeight="1">
      <c r="B143" s="99" t="s">
        <v>640</v>
      </c>
      <c r="E143" s="92"/>
      <c r="F143" s="92"/>
      <c r="H143" s="93" t="s">
        <v>488</v>
      </c>
    </row>
    <row r="144" ht="12.0" customHeight="1">
      <c r="B144" s="99" t="s">
        <v>641</v>
      </c>
      <c r="E144" s="92" t="s">
        <v>642</v>
      </c>
      <c r="F144" s="92" t="s">
        <v>643</v>
      </c>
      <c r="G144" s="99" t="s">
        <v>644</v>
      </c>
      <c r="H144" s="93" t="s">
        <v>645</v>
      </c>
    </row>
    <row r="145" ht="12.0" customHeight="1">
      <c r="B145" s="99" t="s">
        <v>646</v>
      </c>
      <c r="E145" s="92" t="s">
        <v>647</v>
      </c>
      <c r="F145" s="92" t="s">
        <v>648</v>
      </c>
      <c r="G145" s="99" t="s">
        <v>649</v>
      </c>
      <c r="H145" s="93" t="s">
        <v>650</v>
      </c>
    </row>
    <row r="146" ht="15.75" customHeight="1">
      <c r="B146" s="99" t="s">
        <v>651</v>
      </c>
      <c r="E146" s="92"/>
      <c r="F146" s="92"/>
      <c r="H146" s="93" t="s">
        <v>488</v>
      </c>
    </row>
    <row r="147" ht="15.75" customHeight="1">
      <c r="B147" s="99" t="s">
        <v>652</v>
      </c>
      <c r="E147" s="92"/>
      <c r="F147" s="92"/>
      <c r="H147" s="93" t="s">
        <v>488</v>
      </c>
    </row>
    <row r="148" ht="15.75" customHeight="1">
      <c r="B148" s="99" t="s">
        <v>653</v>
      </c>
      <c r="E148" s="92" t="s">
        <v>654</v>
      </c>
      <c r="F148" s="92" t="s">
        <v>655</v>
      </c>
      <c r="G148" s="99" t="s">
        <v>656</v>
      </c>
      <c r="H148" s="93" t="s">
        <v>657</v>
      </c>
    </row>
    <row r="149" ht="15.75" customHeight="1">
      <c r="E149" s="92"/>
      <c r="F149" s="92"/>
      <c r="H149" s="93"/>
    </row>
    <row r="150" ht="15.75" customHeight="1">
      <c r="A150" s="94"/>
      <c r="B150" s="94" t="s">
        <v>658</v>
      </c>
      <c r="C150" s="94"/>
      <c r="D150" s="94"/>
      <c r="E150" s="95"/>
      <c r="F150" s="95"/>
      <c r="G150" s="94"/>
      <c r="H150" s="96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ht="15.75" customHeight="1">
      <c r="B151" s="99" t="s">
        <v>659</v>
      </c>
      <c r="E151" s="92" t="s">
        <v>660</v>
      </c>
      <c r="F151" s="92" t="s">
        <v>661</v>
      </c>
      <c r="H151" s="93" t="s">
        <v>662</v>
      </c>
    </row>
    <row r="152" ht="15.75" customHeight="1">
      <c r="B152" s="99" t="s">
        <v>663</v>
      </c>
      <c r="E152" s="92" t="s">
        <v>664</v>
      </c>
      <c r="F152" s="92"/>
      <c r="G152" s="98" t="s">
        <v>665</v>
      </c>
      <c r="H152" s="93" t="s">
        <v>666</v>
      </c>
    </row>
    <row r="153" ht="15.75" customHeight="1">
      <c r="B153" s="99" t="s">
        <v>667</v>
      </c>
      <c r="E153" s="92"/>
      <c r="F153" s="92"/>
      <c r="H153" s="93"/>
    </row>
    <row r="154" ht="15.75" customHeight="1">
      <c r="B154" s="99" t="s">
        <v>668</v>
      </c>
      <c r="E154" s="92"/>
      <c r="F154" s="92"/>
      <c r="H154" s="93"/>
    </row>
    <row r="155" ht="15.75" customHeight="1">
      <c r="B155" s="99" t="s">
        <v>669</v>
      </c>
      <c r="E155" s="92"/>
      <c r="F155" s="92"/>
      <c r="H155" s="93"/>
    </row>
    <row r="156" ht="15.75" customHeight="1">
      <c r="E156" s="92"/>
      <c r="F156" s="92"/>
      <c r="H156" s="93"/>
    </row>
    <row r="157" ht="15.75" customHeight="1">
      <c r="A157" s="112"/>
      <c r="B157" s="94" t="s">
        <v>670</v>
      </c>
      <c r="C157" s="112"/>
      <c r="D157" s="112"/>
      <c r="E157" s="113"/>
      <c r="F157" s="113"/>
      <c r="G157" s="112"/>
      <c r="H157" s="114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ht="15.75" customHeight="1">
      <c r="B158" s="99" t="s">
        <v>671</v>
      </c>
      <c r="E158" s="92" t="s">
        <v>672</v>
      </c>
      <c r="F158" s="92"/>
      <c r="G158" s="98" t="s">
        <v>673</v>
      </c>
      <c r="H158" s="93" t="s">
        <v>674</v>
      </c>
    </row>
    <row r="159" ht="15.75" customHeight="1">
      <c r="B159" s="99" t="s">
        <v>675</v>
      </c>
      <c r="E159" s="92" t="s">
        <v>676</v>
      </c>
      <c r="F159" s="92"/>
      <c r="H159" s="93" t="s">
        <v>677</v>
      </c>
    </row>
    <row r="160" ht="15.75" customHeight="1">
      <c r="B160" s="99" t="s">
        <v>678</v>
      </c>
      <c r="E160" s="92"/>
      <c r="F160" s="92"/>
      <c r="H160" s="93" t="s">
        <v>679</v>
      </c>
    </row>
    <row r="161" ht="15.75" customHeight="1">
      <c r="B161" s="99" t="s">
        <v>680</v>
      </c>
      <c r="E161" s="92"/>
      <c r="F161" s="92"/>
      <c r="H161" s="93" t="s">
        <v>681</v>
      </c>
    </row>
    <row r="162" ht="15.75" customHeight="1">
      <c r="B162" s="99" t="s">
        <v>682</v>
      </c>
      <c r="E162" s="92"/>
      <c r="F162" s="92"/>
      <c r="H162" s="93" t="s">
        <v>683</v>
      </c>
    </row>
    <row r="163" ht="15.75" customHeight="1">
      <c r="B163" s="99" t="s">
        <v>684</v>
      </c>
      <c r="E163" s="92"/>
      <c r="F163" s="92"/>
      <c r="H163" s="93" t="s">
        <v>685</v>
      </c>
    </row>
    <row r="164" ht="15.75" customHeight="1">
      <c r="B164" s="99" t="s">
        <v>686</v>
      </c>
      <c r="E164" s="92"/>
      <c r="F164" s="92"/>
      <c r="H164" s="93" t="s">
        <v>543</v>
      </c>
    </row>
    <row r="165" ht="15.75" customHeight="1">
      <c r="B165" s="99" t="s">
        <v>687</v>
      </c>
      <c r="E165" s="92"/>
      <c r="F165" s="92"/>
      <c r="H165" s="93" t="s">
        <v>688</v>
      </c>
    </row>
    <row r="166" ht="15.75" customHeight="1">
      <c r="B166" s="99" t="s">
        <v>689</v>
      </c>
      <c r="E166" s="92"/>
      <c r="F166" s="92"/>
      <c r="H166" s="93" t="s">
        <v>543</v>
      </c>
    </row>
    <row r="167" ht="15.75" customHeight="1">
      <c r="B167" s="99" t="s">
        <v>690</v>
      </c>
      <c r="E167" s="92"/>
      <c r="F167" s="92"/>
      <c r="H167" s="93" t="s">
        <v>683</v>
      </c>
    </row>
    <row r="168" ht="15.75" customHeight="1">
      <c r="B168" s="99" t="s">
        <v>691</v>
      </c>
      <c r="E168" s="92"/>
      <c r="F168" s="92"/>
      <c r="H168" s="93" t="s">
        <v>488</v>
      </c>
    </row>
    <row r="169" ht="15.75" customHeight="1">
      <c r="B169" s="99" t="s">
        <v>692</v>
      </c>
      <c r="E169" s="92"/>
      <c r="F169" s="92"/>
      <c r="H169" s="93" t="s">
        <v>693</v>
      </c>
    </row>
    <row r="170" ht="15.75" customHeight="1">
      <c r="B170" s="99" t="s">
        <v>694</v>
      </c>
      <c r="E170" s="92"/>
      <c r="F170" s="92"/>
      <c r="H170" s="93" t="s">
        <v>695</v>
      </c>
    </row>
    <row r="171" ht="15.75" customHeight="1">
      <c r="B171" s="99" t="s">
        <v>696</v>
      </c>
      <c r="E171" s="92"/>
      <c r="F171" s="92"/>
      <c r="H171" s="93" t="s">
        <v>695</v>
      </c>
    </row>
    <row r="172" ht="15.75" customHeight="1">
      <c r="B172" s="99" t="s">
        <v>697</v>
      </c>
      <c r="E172" s="92"/>
      <c r="F172" s="92"/>
      <c r="H172" s="93" t="s">
        <v>698</v>
      </c>
    </row>
    <row r="173" ht="15.75" customHeight="1">
      <c r="B173" s="99" t="s">
        <v>699</v>
      </c>
      <c r="E173" s="92"/>
      <c r="F173" s="92"/>
      <c r="H173" s="93" t="s">
        <v>700</v>
      </c>
    </row>
    <row r="174" ht="15.75" customHeight="1">
      <c r="B174" s="99" t="s">
        <v>701</v>
      </c>
      <c r="E174" s="92"/>
      <c r="F174" s="92"/>
      <c r="H174" s="93" t="s">
        <v>702</v>
      </c>
    </row>
    <row r="175" ht="15.75" customHeight="1">
      <c r="B175" s="99" t="s">
        <v>703</v>
      </c>
      <c r="E175" s="92"/>
      <c r="F175" s="92"/>
      <c r="H175" s="93" t="s">
        <v>704</v>
      </c>
    </row>
    <row r="176" ht="15.75" customHeight="1">
      <c r="B176" s="99" t="s">
        <v>705</v>
      </c>
      <c r="E176" s="92"/>
      <c r="F176" s="92"/>
      <c r="H176" s="93" t="s">
        <v>706</v>
      </c>
    </row>
    <row r="177" ht="15.75" customHeight="1">
      <c r="B177" s="99" t="s">
        <v>707</v>
      </c>
      <c r="E177" s="92"/>
      <c r="F177" s="92"/>
      <c r="H177" s="93" t="s">
        <v>708</v>
      </c>
    </row>
    <row r="178" ht="15.75" customHeight="1">
      <c r="B178" s="99" t="s">
        <v>709</v>
      </c>
      <c r="E178" s="92"/>
      <c r="F178" s="92"/>
      <c r="H178" s="93" t="s">
        <v>710</v>
      </c>
    </row>
    <row r="179" ht="15.75" customHeight="1">
      <c r="B179" s="99" t="s">
        <v>711</v>
      </c>
      <c r="E179" s="92"/>
      <c r="F179" s="92"/>
      <c r="H179" s="93" t="s">
        <v>414</v>
      </c>
    </row>
    <row r="180" ht="15.75" customHeight="1">
      <c r="B180" s="99" t="s">
        <v>712</v>
      </c>
      <c r="E180" s="92"/>
      <c r="F180" s="92"/>
      <c r="H180" s="93" t="s">
        <v>713</v>
      </c>
    </row>
    <row r="181" ht="15.75" customHeight="1">
      <c r="B181" s="99" t="s">
        <v>714</v>
      </c>
      <c r="E181" s="92"/>
      <c r="F181" s="92"/>
      <c r="H181" s="93" t="s">
        <v>713</v>
      </c>
      <c r="J181" s="99" t="s">
        <v>715</v>
      </c>
    </row>
    <row r="182" ht="15.75" customHeight="1">
      <c r="B182" s="99" t="s">
        <v>716</v>
      </c>
      <c r="E182" s="92"/>
      <c r="F182" s="92"/>
      <c r="H182" s="93" t="s">
        <v>717</v>
      </c>
    </row>
    <row r="183" ht="15.75" customHeight="1">
      <c r="B183" s="99" t="s">
        <v>718</v>
      </c>
      <c r="E183" s="92"/>
      <c r="F183" s="92"/>
      <c r="H183" s="93" t="s">
        <v>719</v>
      </c>
    </row>
    <row r="184" ht="15.75" customHeight="1">
      <c r="B184" s="99" t="s">
        <v>720</v>
      </c>
      <c r="E184" s="92"/>
      <c r="F184" s="92"/>
      <c r="H184" s="93" t="s">
        <v>721</v>
      </c>
    </row>
    <row r="185" ht="15.75" customHeight="1">
      <c r="B185" s="99" t="s">
        <v>722</v>
      </c>
      <c r="E185" s="92"/>
      <c r="F185" s="92"/>
      <c r="H185" s="93" t="s">
        <v>552</v>
      </c>
    </row>
    <row r="186" ht="15.75" customHeight="1">
      <c r="E186" s="92"/>
      <c r="F186" s="92"/>
      <c r="H186" s="93"/>
    </row>
    <row r="187" ht="15.75" customHeight="1">
      <c r="E187" s="92"/>
      <c r="F187" s="92"/>
      <c r="H187" s="93"/>
    </row>
    <row r="188" ht="15.75" customHeight="1">
      <c r="A188" s="94"/>
      <c r="B188" s="94" t="s">
        <v>723</v>
      </c>
      <c r="C188" s="94"/>
      <c r="D188" s="94" t="s">
        <v>177</v>
      </c>
      <c r="E188" s="95" t="s">
        <v>178</v>
      </c>
      <c r="F188" s="95"/>
      <c r="G188" s="94" t="s">
        <v>179</v>
      </c>
      <c r="H188" s="96" t="s">
        <v>180</v>
      </c>
      <c r="I188" s="94" t="s">
        <v>181</v>
      </c>
      <c r="J188" s="94"/>
      <c r="K188" s="94" t="s">
        <v>183</v>
      </c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ht="15.75" customHeight="1">
      <c r="E189" s="92"/>
      <c r="F189" s="92"/>
      <c r="H189" s="93"/>
    </row>
    <row r="190" ht="15.75" customHeight="1">
      <c r="B190" s="99" t="s">
        <v>724</v>
      </c>
      <c r="E190" s="92"/>
      <c r="F190" s="92"/>
      <c r="H190" s="93" t="s">
        <v>725</v>
      </c>
      <c r="J190" s="99" t="s">
        <v>726</v>
      </c>
      <c r="K190" s="99" t="s">
        <v>727</v>
      </c>
    </row>
    <row r="191" ht="15.75" customHeight="1">
      <c r="B191" s="99" t="s">
        <v>728</v>
      </c>
      <c r="E191" s="92"/>
      <c r="F191" s="92"/>
      <c r="H191" s="93" t="s">
        <v>729</v>
      </c>
      <c r="J191" s="99" t="s">
        <v>730</v>
      </c>
      <c r="K191" s="99" t="s">
        <v>731</v>
      </c>
    </row>
    <row r="192" ht="15.75" customHeight="1">
      <c r="B192" s="99" t="s">
        <v>732</v>
      </c>
      <c r="E192" s="92"/>
      <c r="F192" s="92"/>
      <c r="H192" s="93" t="s">
        <v>733</v>
      </c>
      <c r="J192" s="99" t="s">
        <v>734</v>
      </c>
    </row>
    <row r="193" ht="15.75" customHeight="1">
      <c r="E193" s="92"/>
      <c r="F193" s="92"/>
      <c r="H193" s="93"/>
    </row>
    <row r="194" ht="15.75" customHeight="1">
      <c r="A194" s="94"/>
      <c r="B194" s="94" t="s">
        <v>735</v>
      </c>
      <c r="C194" s="94"/>
      <c r="D194" s="94"/>
      <c r="E194" s="95"/>
      <c r="F194" s="95"/>
      <c r="G194" s="94"/>
      <c r="H194" s="96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ht="15.75" customHeight="1">
      <c r="A195" s="97"/>
      <c r="B195" s="97" t="s">
        <v>736</v>
      </c>
      <c r="C195" s="97"/>
      <c r="D195" s="97"/>
      <c r="E195" s="92"/>
      <c r="F195" s="92"/>
      <c r="G195" s="97"/>
      <c r="H195" s="93" t="s">
        <v>737</v>
      </c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ht="15.75" customHeight="1">
      <c r="A196" s="97"/>
      <c r="B196" s="97" t="s">
        <v>738</v>
      </c>
      <c r="C196" s="97"/>
      <c r="D196" s="97"/>
      <c r="E196" s="92"/>
      <c r="F196" s="92"/>
      <c r="G196" s="97"/>
      <c r="H196" s="93" t="s">
        <v>739</v>
      </c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ht="15.75" customHeight="1">
      <c r="A197" s="97"/>
      <c r="B197" s="97" t="s">
        <v>740</v>
      </c>
      <c r="C197" s="97"/>
      <c r="D197" s="97"/>
      <c r="E197" s="92"/>
      <c r="F197" s="92"/>
      <c r="G197" s="97"/>
      <c r="H197" s="93" t="s">
        <v>741</v>
      </c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ht="15.75" customHeight="1">
      <c r="A198" s="97"/>
      <c r="B198" s="97" t="s">
        <v>742</v>
      </c>
      <c r="C198" s="97"/>
      <c r="D198" s="97"/>
      <c r="E198" s="92"/>
      <c r="F198" s="92"/>
      <c r="G198" s="97"/>
      <c r="H198" s="93" t="s">
        <v>683</v>
      </c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ht="15.75" customHeight="1">
      <c r="A199" s="97"/>
      <c r="B199" s="97" t="s">
        <v>743</v>
      </c>
      <c r="C199" s="97"/>
      <c r="D199" s="97"/>
      <c r="E199" s="92"/>
      <c r="F199" s="92"/>
      <c r="G199" s="97"/>
      <c r="H199" s="93" t="s">
        <v>744</v>
      </c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ht="15.75" customHeight="1">
      <c r="A200" s="97"/>
      <c r="B200" s="97" t="s">
        <v>745</v>
      </c>
      <c r="C200" s="97"/>
      <c r="D200" s="97"/>
      <c r="E200" s="92"/>
      <c r="F200" s="92"/>
      <c r="G200" s="97"/>
      <c r="H200" s="93" t="s">
        <v>746</v>
      </c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ht="15.75" customHeight="1">
      <c r="A201" s="97"/>
      <c r="B201" s="97" t="s">
        <v>747</v>
      </c>
      <c r="C201" s="97"/>
      <c r="D201" s="97"/>
      <c r="E201" s="92"/>
      <c r="F201" s="92"/>
      <c r="G201" s="97"/>
      <c r="H201" s="93" t="s">
        <v>748</v>
      </c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ht="15.75" customHeight="1">
      <c r="A202" s="97"/>
      <c r="B202" s="97" t="s">
        <v>749</v>
      </c>
      <c r="C202" s="97"/>
      <c r="D202" s="97"/>
      <c r="E202" s="92"/>
      <c r="F202" s="92"/>
      <c r="G202" s="97"/>
      <c r="H202" s="93" t="s">
        <v>750</v>
      </c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ht="15.75" customHeight="1">
      <c r="A203" s="97"/>
      <c r="B203" s="97" t="s">
        <v>751</v>
      </c>
      <c r="C203" s="97"/>
      <c r="D203" s="97"/>
      <c r="E203" s="92"/>
      <c r="F203" s="92"/>
      <c r="G203" s="97"/>
      <c r="H203" s="93" t="s">
        <v>752</v>
      </c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ht="15.75" customHeight="1">
      <c r="A204" s="97"/>
      <c r="B204" s="97" t="s">
        <v>753</v>
      </c>
      <c r="C204" s="97"/>
      <c r="D204" s="97"/>
      <c r="E204" s="92"/>
      <c r="F204" s="92"/>
      <c r="G204" s="97"/>
      <c r="H204" s="93" t="s">
        <v>754</v>
      </c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ht="15.75" customHeight="1">
      <c r="A205" s="97"/>
      <c r="B205" s="97" t="s">
        <v>755</v>
      </c>
      <c r="C205" s="97"/>
      <c r="D205" s="97"/>
      <c r="E205" s="92"/>
      <c r="F205" s="92"/>
      <c r="G205" s="97"/>
      <c r="H205" s="93" t="s">
        <v>756</v>
      </c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ht="15.75" customHeight="1">
      <c r="A206" s="97"/>
      <c r="B206" s="97" t="s">
        <v>757</v>
      </c>
      <c r="C206" s="97"/>
      <c r="D206" s="97"/>
      <c r="E206" s="92"/>
      <c r="F206" s="92"/>
      <c r="G206" s="97"/>
      <c r="H206" s="93" t="s">
        <v>758</v>
      </c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ht="15.75" customHeight="1">
      <c r="A207" s="97"/>
      <c r="B207" s="97" t="s">
        <v>759</v>
      </c>
      <c r="C207" s="97"/>
      <c r="D207" s="97"/>
      <c r="E207" s="92"/>
      <c r="F207" s="92"/>
      <c r="G207" s="97"/>
      <c r="H207" s="93" t="s">
        <v>760</v>
      </c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ht="15.75" customHeight="1">
      <c r="A208" s="97"/>
      <c r="B208" s="97" t="s">
        <v>761</v>
      </c>
      <c r="C208" s="97"/>
      <c r="D208" s="97"/>
      <c r="E208" s="92"/>
      <c r="F208" s="92"/>
      <c r="G208" s="97"/>
      <c r="H208" s="93" t="s">
        <v>762</v>
      </c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ht="15.75" customHeight="1">
      <c r="A209" s="97"/>
      <c r="B209" s="97" t="s">
        <v>763</v>
      </c>
      <c r="C209" s="97"/>
      <c r="D209" s="97"/>
      <c r="E209" s="92"/>
      <c r="F209" s="92"/>
      <c r="G209" s="97"/>
      <c r="H209" s="93" t="s">
        <v>760</v>
      </c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ht="15.75" customHeight="1">
      <c r="A210" s="97"/>
      <c r="B210" s="97" t="s">
        <v>764</v>
      </c>
      <c r="C210" s="97"/>
      <c r="D210" s="97"/>
      <c r="E210" s="92"/>
      <c r="F210" s="92"/>
      <c r="G210" s="97"/>
      <c r="H210" s="93" t="s">
        <v>765</v>
      </c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ht="15.75" customHeight="1">
      <c r="A211" s="97"/>
      <c r="B211" s="97" t="s">
        <v>766</v>
      </c>
      <c r="C211" s="97"/>
      <c r="D211" s="97"/>
      <c r="E211" s="92"/>
      <c r="F211" s="92"/>
      <c r="G211" s="97"/>
      <c r="H211" s="93" t="s">
        <v>505</v>
      </c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ht="15.75" customHeight="1">
      <c r="A212" s="97"/>
      <c r="B212" s="97" t="s">
        <v>767</v>
      </c>
      <c r="C212" s="97"/>
      <c r="D212" s="97"/>
      <c r="E212" s="92"/>
      <c r="F212" s="92"/>
      <c r="G212" s="97"/>
      <c r="H212" s="93" t="s">
        <v>768</v>
      </c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ht="15.75" customHeight="1">
      <c r="A213" s="97"/>
      <c r="B213" s="97" t="s">
        <v>769</v>
      </c>
      <c r="C213" s="97"/>
      <c r="D213" s="97"/>
      <c r="E213" s="92"/>
      <c r="F213" s="92"/>
      <c r="G213" s="97"/>
      <c r="H213" s="93" t="s">
        <v>721</v>
      </c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ht="15.75" customHeight="1">
      <c r="A214" s="97"/>
      <c r="B214" s="97" t="s">
        <v>770</v>
      </c>
      <c r="C214" s="97"/>
      <c r="D214" s="97"/>
      <c r="E214" s="92"/>
      <c r="F214" s="92"/>
      <c r="G214" s="97"/>
      <c r="H214" s="93" t="s">
        <v>771</v>
      </c>
      <c r="I214" s="97"/>
      <c r="J214" s="97" t="s">
        <v>772</v>
      </c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ht="15.75" customHeight="1">
      <c r="A215" s="97"/>
      <c r="B215" s="97" t="s">
        <v>773</v>
      </c>
      <c r="C215" s="97"/>
      <c r="D215" s="97"/>
      <c r="E215" s="92"/>
      <c r="F215" s="92"/>
      <c r="G215" s="97"/>
      <c r="H215" s="93" t="s">
        <v>543</v>
      </c>
      <c r="I215" s="97"/>
      <c r="J215" s="97" t="s">
        <v>774</v>
      </c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ht="15.75" customHeight="1">
      <c r="A216" s="97"/>
      <c r="B216" s="97" t="s">
        <v>775</v>
      </c>
      <c r="C216" s="97"/>
      <c r="D216" s="97"/>
      <c r="E216" s="92"/>
      <c r="F216" s="92"/>
      <c r="G216" s="97"/>
      <c r="H216" s="93" t="s">
        <v>776</v>
      </c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ht="15.75" customHeight="1">
      <c r="B217" s="97" t="s">
        <v>777</v>
      </c>
      <c r="E217" s="92"/>
      <c r="F217" s="92"/>
      <c r="H217" s="93" t="s">
        <v>778</v>
      </c>
      <c r="J217" s="99" t="s">
        <v>779</v>
      </c>
    </row>
    <row r="218" ht="15.75" customHeight="1">
      <c r="B218" s="97" t="s">
        <v>780</v>
      </c>
      <c r="E218" s="92"/>
      <c r="F218" s="92"/>
      <c r="H218" s="93" t="s">
        <v>760</v>
      </c>
    </row>
    <row r="219" ht="15.75" customHeight="1">
      <c r="B219" s="97" t="s">
        <v>781</v>
      </c>
      <c r="E219" s="92"/>
      <c r="F219" s="92"/>
      <c r="H219" s="93" t="s">
        <v>782</v>
      </c>
    </row>
    <row r="220" ht="15.75" customHeight="1">
      <c r="B220" s="97" t="s">
        <v>783</v>
      </c>
      <c r="E220" s="92"/>
      <c r="F220" s="92"/>
      <c r="H220" s="93" t="s">
        <v>784</v>
      </c>
    </row>
    <row r="221" ht="15.75" customHeight="1">
      <c r="B221" s="97" t="s">
        <v>785</v>
      </c>
      <c r="E221" s="92"/>
      <c r="F221" s="92"/>
      <c r="H221" s="93" t="s">
        <v>786</v>
      </c>
    </row>
    <row r="222" ht="15.75" customHeight="1">
      <c r="B222" s="97" t="s">
        <v>787</v>
      </c>
      <c r="E222" s="92"/>
      <c r="F222" s="92"/>
      <c r="H222" s="93" t="s">
        <v>786</v>
      </c>
    </row>
    <row r="223" ht="15.75" customHeight="1">
      <c r="B223" s="97" t="s">
        <v>788</v>
      </c>
      <c r="E223" s="92"/>
      <c r="F223" s="92"/>
      <c r="H223" s="93" t="s">
        <v>683</v>
      </c>
    </row>
    <row r="224" ht="15.75" customHeight="1">
      <c r="B224" s="97" t="s">
        <v>789</v>
      </c>
      <c r="E224" s="92"/>
      <c r="F224" s="92"/>
      <c r="H224" s="93" t="s">
        <v>786</v>
      </c>
    </row>
    <row r="225" ht="15.75" customHeight="1">
      <c r="B225" s="97" t="s">
        <v>790</v>
      </c>
      <c r="E225" s="92"/>
      <c r="F225" s="92"/>
      <c r="H225" s="93" t="s">
        <v>791</v>
      </c>
    </row>
    <row r="226" ht="15.75" customHeight="1">
      <c r="B226" s="97" t="s">
        <v>792</v>
      </c>
      <c r="E226" s="92"/>
      <c r="F226" s="92"/>
      <c r="H226" s="93" t="s">
        <v>793</v>
      </c>
    </row>
    <row r="227" ht="15.75" customHeight="1">
      <c r="B227" s="97"/>
      <c r="E227" s="92"/>
      <c r="F227" s="92"/>
      <c r="H227" s="93"/>
    </row>
    <row r="228" ht="15.75" customHeight="1">
      <c r="A228" s="94"/>
      <c r="B228" s="94" t="s">
        <v>794</v>
      </c>
      <c r="C228" s="94"/>
      <c r="D228" s="94"/>
      <c r="E228" s="95"/>
      <c r="F228" s="95"/>
      <c r="G228" s="94"/>
      <c r="H228" s="96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ht="15.75" customHeight="1">
      <c r="B229" s="97" t="s">
        <v>795</v>
      </c>
      <c r="E229" s="92"/>
      <c r="F229" s="92"/>
      <c r="H229" s="93" t="s">
        <v>760</v>
      </c>
      <c r="J229" s="99" t="s">
        <v>796</v>
      </c>
    </row>
    <row r="230" ht="15.75" customHeight="1">
      <c r="B230" s="97" t="s">
        <v>797</v>
      </c>
      <c r="E230" s="92"/>
      <c r="F230" s="92"/>
      <c r="H230" s="93" t="s">
        <v>744</v>
      </c>
    </row>
    <row r="231" ht="15.75" customHeight="1">
      <c r="B231" s="97" t="s">
        <v>798</v>
      </c>
      <c r="E231" s="92"/>
      <c r="F231" s="92"/>
      <c r="H231" s="93" t="s">
        <v>414</v>
      </c>
    </row>
    <row r="232" ht="15.75" customHeight="1">
      <c r="B232" s="97" t="s">
        <v>799</v>
      </c>
      <c r="E232" s="92"/>
      <c r="F232" s="92"/>
      <c r="H232" s="93" t="s">
        <v>800</v>
      </c>
    </row>
    <row r="233" ht="15.75" customHeight="1">
      <c r="B233" s="97" t="s">
        <v>801</v>
      </c>
      <c r="E233" s="92"/>
      <c r="F233" s="92"/>
      <c r="H233" s="93" t="s">
        <v>488</v>
      </c>
    </row>
    <row r="234" ht="15.75" customHeight="1">
      <c r="B234" s="97" t="s">
        <v>802</v>
      </c>
      <c r="E234" s="92"/>
      <c r="F234" s="92"/>
      <c r="H234" s="93" t="s">
        <v>380</v>
      </c>
    </row>
    <row r="235" ht="15.75" customHeight="1">
      <c r="B235" s="97" t="s">
        <v>803</v>
      </c>
      <c r="E235" s="92"/>
      <c r="F235" s="92"/>
      <c r="H235" s="93" t="s">
        <v>414</v>
      </c>
    </row>
    <row r="236" ht="15.75" customHeight="1">
      <c r="B236" s="97" t="s">
        <v>804</v>
      </c>
      <c r="E236" s="92"/>
      <c r="F236" s="92"/>
      <c r="H236" s="93" t="s">
        <v>414</v>
      </c>
    </row>
    <row r="237" ht="15.75" customHeight="1">
      <c r="B237" s="97" t="s">
        <v>805</v>
      </c>
      <c r="E237" s="92"/>
      <c r="F237" s="92"/>
      <c r="H237" s="93" t="s">
        <v>800</v>
      </c>
    </row>
    <row r="238" ht="15.75" customHeight="1">
      <c r="B238" s="97" t="s">
        <v>806</v>
      </c>
      <c r="E238" s="92"/>
      <c r="F238" s="92"/>
      <c r="H238" s="93" t="s">
        <v>807</v>
      </c>
      <c r="J238" s="99" t="s">
        <v>808</v>
      </c>
    </row>
    <row r="239" ht="15.75" customHeight="1">
      <c r="B239" s="97" t="s">
        <v>809</v>
      </c>
      <c r="E239" s="92"/>
      <c r="F239" s="92"/>
      <c r="H239" s="93" t="s">
        <v>810</v>
      </c>
    </row>
    <row r="240" ht="15.75" customHeight="1">
      <c r="B240" s="97" t="s">
        <v>811</v>
      </c>
      <c r="E240" s="92"/>
      <c r="F240" s="92"/>
      <c r="H240" s="93" t="s">
        <v>812</v>
      </c>
    </row>
    <row r="241" ht="15.75" customHeight="1">
      <c r="B241" s="97" t="s">
        <v>813</v>
      </c>
      <c r="E241" s="92"/>
      <c r="F241" s="92"/>
      <c r="H241" s="93" t="s">
        <v>814</v>
      </c>
    </row>
    <row r="242" ht="15.75" customHeight="1">
      <c r="B242" s="97" t="s">
        <v>815</v>
      </c>
      <c r="E242" s="92"/>
      <c r="F242" s="92"/>
      <c r="H242" s="93" t="s">
        <v>760</v>
      </c>
    </row>
    <row r="243" ht="15.75" customHeight="1">
      <c r="B243" s="97" t="s">
        <v>816</v>
      </c>
      <c r="E243" s="92"/>
      <c r="F243" s="92"/>
      <c r="H243" s="93" t="s">
        <v>414</v>
      </c>
      <c r="J243" s="99" t="s">
        <v>817</v>
      </c>
    </row>
    <row r="244" ht="15.75" customHeight="1">
      <c r="B244" s="97" t="s">
        <v>818</v>
      </c>
      <c r="E244" s="92"/>
      <c r="F244" s="92"/>
      <c r="H244" s="93" t="s">
        <v>679</v>
      </c>
    </row>
    <row r="245" ht="15.75" customHeight="1">
      <c r="B245" s="97" t="s">
        <v>819</v>
      </c>
      <c r="E245" s="92"/>
      <c r="F245" s="92"/>
      <c r="H245" s="93" t="s">
        <v>820</v>
      </c>
      <c r="J245" s="99" t="s">
        <v>796</v>
      </c>
    </row>
    <row r="246" ht="15.75" customHeight="1">
      <c r="B246" s="97" t="s">
        <v>821</v>
      </c>
      <c r="E246" s="92"/>
      <c r="F246" s="92"/>
      <c r="H246" s="93" t="s">
        <v>822</v>
      </c>
    </row>
    <row r="247" ht="15.75" customHeight="1">
      <c r="B247" s="97" t="s">
        <v>823</v>
      </c>
      <c r="E247" s="92"/>
      <c r="F247" s="92"/>
      <c r="H247" s="93" t="s">
        <v>760</v>
      </c>
    </row>
    <row r="248" ht="15.75" customHeight="1">
      <c r="B248" s="97" t="s">
        <v>824</v>
      </c>
      <c r="E248" s="92"/>
      <c r="F248" s="92"/>
      <c r="H248" s="93" t="s">
        <v>800</v>
      </c>
    </row>
    <row r="249" ht="15.75" customHeight="1">
      <c r="B249" s="97" t="s">
        <v>825</v>
      </c>
      <c r="E249" s="92"/>
      <c r="F249" s="92"/>
      <c r="H249" s="93" t="s">
        <v>826</v>
      </c>
    </row>
    <row r="250" ht="15.75" customHeight="1">
      <c r="B250" s="97" t="s">
        <v>827</v>
      </c>
      <c r="E250" s="92"/>
      <c r="F250" s="92"/>
      <c r="H250" s="93" t="s">
        <v>760</v>
      </c>
    </row>
    <row r="251" ht="15.75" customHeight="1">
      <c r="B251" s="97" t="s">
        <v>828</v>
      </c>
      <c r="E251" s="92"/>
      <c r="F251" s="92"/>
      <c r="H251" s="93" t="s">
        <v>829</v>
      </c>
    </row>
    <row r="252" ht="15.75" customHeight="1">
      <c r="B252" s="97" t="s">
        <v>830</v>
      </c>
      <c r="E252" s="92"/>
      <c r="F252" s="92"/>
      <c r="H252" s="93" t="s">
        <v>760</v>
      </c>
    </row>
    <row r="253" ht="15.75" customHeight="1">
      <c r="B253" s="97" t="s">
        <v>831</v>
      </c>
      <c r="E253" s="92"/>
      <c r="F253" s="92"/>
      <c r="H253" s="93" t="s">
        <v>688</v>
      </c>
    </row>
    <row r="254" ht="15.75" customHeight="1">
      <c r="B254" s="97" t="s">
        <v>832</v>
      </c>
      <c r="E254" s="92"/>
      <c r="F254" s="92"/>
      <c r="H254" s="93" t="s">
        <v>833</v>
      </c>
    </row>
    <row r="255" ht="15.75" customHeight="1">
      <c r="B255" s="97" t="s">
        <v>834</v>
      </c>
      <c r="E255" s="92"/>
      <c r="F255" s="92"/>
      <c r="H255" s="93" t="s">
        <v>380</v>
      </c>
    </row>
    <row r="256" ht="15.75" customHeight="1">
      <c r="B256" s="97" t="s">
        <v>835</v>
      </c>
      <c r="E256" s="92"/>
      <c r="F256" s="92"/>
      <c r="H256" s="93" t="s">
        <v>776</v>
      </c>
    </row>
    <row r="257" ht="15.75" customHeight="1">
      <c r="B257" s="97" t="s">
        <v>836</v>
      </c>
      <c r="E257" s="92"/>
      <c r="F257" s="92"/>
      <c r="H257" s="93" t="s">
        <v>814</v>
      </c>
    </row>
    <row r="258" ht="15.75" customHeight="1">
      <c r="B258" s="97" t="s">
        <v>837</v>
      </c>
      <c r="E258" s="92"/>
      <c r="F258" s="92"/>
      <c r="H258" s="93" t="s">
        <v>838</v>
      </c>
    </row>
    <row r="259" ht="15.75" customHeight="1">
      <c r="B259" s="97" t="s">
        <v>839</v>
      </c>
      <c r="E259" s="92"/>
      <c r="F259" s="92"/>
      <c r="H259" s="93" t="s">
        <v>840</v>
      </c>
    </row>
    <row r="260" ht="15.75" customHeight="1">
      <c r="B260" s="97" t="s">
        <v>841</v>
      </c>
      <c r="E260" s="92"/>
      <c r="F260" s="92"/>
      <c r="H260" s="93" t="s">
        <v>829</v>
      </c>
    </row>
    <row r="261" ht="15.75" customHeight="1">
      <c r="B261" s="97" t="s">
        <v>842</v>
      </c>
      <c r="E261" s="92"/>
      <c r="F261" s="92"/>
      <c r="H261" s="93" t="s">
        <v>843</v>
      </c>
    </row>
    <row r="262" ht="15.75" customHeight="1">
      <c r="B262" s="97" t="s">
        <v>844</v>
      </c>
      <c r="E262" s="92"/>
      <c r="F262" s="92"/>
      <c r="H262" s="93" t="s">
        <v>683</v>
      </c>
    </row>
    <row r="263" ht="15.75" customHeight="1">
      <c r="B263" s="97" t="s">
        <v>845</v>
      </c>
      <c r="E263" s="92"/>
      <c r="F263" s="92"/>
      <c r="H263" s="93" t="s">
        <v>776</v>
      </c>
    </row>
    <row r="264" ht="15.75" customHeight="1">
      <c r="B264" s="97" t="s">
        <v>846</v>
      </c>
      <c r="E264" s="92"/>
      <c r="F264" s="92"/>
      <c r="H264" s="93" t="s">
        <v>847</v>
      </c>
    </row>
    <row r="265" ht="15.75" customHeight="1">
      <c r="B265" s="97" t="s">
        <v>848</v>
      </c>
      <c r="E265" s="92"/>
      <c r="F265" s="92"/>
      <c r="H265" s="93" t="s">
        <v>414</v>
      </c>
    </row>
    <row r="266" ht="15.75" customHeight="1">
      <c r="B266" s="97" t="s">
        <v>849</v>
      </c>
      <c r="E266" s="92"/>
      <c r="F266" s="92"/>
      <c r="H266" s="93" t="s">
        <v>829</v>
      </c>
    </row>
    <row r="267" ht="15.75" customHeight="1">
      <c r="B267" s="97" t="s">
        <v>850</v>
      </c>
      <c r="E267" s="92"/>
      <c r="F267" s="92"/>
      <c r="H267" s="93" t="s">
        <v>683</v>
      </c>
    </row>
    <row r="268" ht="15.75" customHeight="1">
      <c r="B268" s="97" t="s">
        <v>851</v>
      </c>
      <c r="E268" s="92"/>
      <c r="F268" s="92"/>
      <c r="H268" s="93" t="s">
        <v>679</v>
      </c>
    </row>
    <row r="269" ht="15.75" customHeight="1">
      <c r="B269" s="97" t="s">
        <v>852</v>
      </c>
      <c r="E269" s="92"/>
      <c r="F269" s="92"/>
      <c r="H269" s="93" t="s">
        <v>853</v>
      </c>
    </row>
    <row r="270" ht="15.75" customHeight="1">
      <c r="B270" s="97" t="s">
        <v>854</v>
      </c>
      <c r="E270" s="92"/>
      <c r="F270" s="92"/>
      <c r="H270" s="93" t="s">
        <v>543</v>
      </c>
    </row>
    <row r="271" ht="15.75" customHeight="1">
      <c r="B271" s="97" t="s">
        <v>855</v>
      </c>
      <c r="E271" s="92"/>
      <c r="F271" s="92"/>
      <c r="H271" s="93" t="s">
        <v>843</v>
      </c>
    </row>
    <row r="272" ht="15.75" customHeight="1">
      <c r="B272" s="97" t="s">
        <v>856</v>
      </c>
      <c r="E272" s="92"/>
      <c r="F272" s="92"/>
      <c r="H272" s="93" t="s">
        <v>683</v>
      </c>
    </row>
    <row r="273" ht="15.75" customHeight="1">
      <c r="B273" s="97" t="s">
        <v>857</v>
      </c>
      <c r="E273" s="92"/>
      <c r="F273" s="92"/>
      <c r="H273" s="93" t="s">
        <v>414</v>
      </c>
    </row>
    <row r="274" ht="15.75" customHeight="1">
      <c r="B274" s="97" t="s">
        <v>858</v>
      </c>
      <c r="E274" s="92"/>
      <c r="F274" s="92"/>
      <c r="H274" s="93" t="s">
        <v>838</v>
      </c>
    </row>
    <row r="275" ht="15.75" customHeight="1">
      <c r="B275" s="97" t="s">
        <v>859</v>
      </c>
      <c r="E275" s="92"/>
      <c r="F275" s="92"/>
      <c r="H275" s="93" t="s">
        <v>860</v>
      </c>
    </row>
    <row r="276" ht="15.75" customHeight="1">
      <c r="B276" s="97" t="s">
        <v>861</v>
      </c>
      <c r="E276" s="92"/>
      <c r="F276" s="92"/>
      <c r="H276" s="93" t="s">
        <v>721</v>
      </c>
    </row>
    <row r="277" ht="15.75" customHeight="1">
      <c r="B277" s="97" t="s">
        <v>862</v>
      </c>
      <c r="E277" s="92"/>
      <c r="F277" s="92"/>
      <c r="H277" s="93" t="s">
        <v>863</v>
      </c>
    </row>
    <row r="278" ht="15.75" customHeight="1">
      <c r="B278" s="97" t="s">
        <v>864</v>
      </c>
      <c r="E278" s="92"/>
      <c r="F278" s="92"/>
      <c r="H278" s="93" t="s">
        <v>679</v>
      </c>
    </row>
    <row r="279" ht="15.75" customHeight="1">
      <c r="B279" s="97" t="s">
        <v>865</v>
      </c>
      <c r="E279" s="92"/>
      <c r="F279" s="92"/>
      <c r="H279" s="93" t="s">
        <v>679</v>
      </c>
    </row>
    <row r="280" ht="15.75" customHeight="1">
      <c r="B280" s="97" t="s">
        <v>866</v>
      </c>
      <c r="E280" s="92"/>
      <c r="F280" s="92"/>
      <c r="H280" s="93" t="s">
        <v>380</v>
      </c>
    </row>
    <row r="281" ht="15.75" customHeight="1">
      <c r="E281" s="92"/>
      <c r="F281" s="92"/>
      <c r="H281" s="93"/>
    </row>
    <row r="282" ht="15.75" customHeight="1">
      <c r="E282" s="92"/>
      <c r="F282" s="92"/>
      <c r="H282" s="93"/>
    </row>
    <row r="283" ht="15.75" customHeight="1">
      <c r="A283" s="94"/>
      <c r="B283" s="94" t="s">
        <v>867</v>
      </c>
      <c r="C283" s="94"/>
      <c r="D283" s="94" t="s">
        <v>177</v>
      </c>
      <c r="E283" s="95" t="s">
        <v>178</v>
      </c>
      <c r="F283" s="95"/>
      <c r="G283" s="94" t="s">
        <v>179</v>
      </c>
      <c r="H283" s="96" t="s">
        <v>180</v>
      </c>
      <c r="I283" s="94" t="s">
        <v>181</v>
      </c>
      <c r="J283" s="94"/>
      <c r="K283" s="94" t="s">
        <v>183</v>
      </c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ht="15.75" customHeight="1">
      <c r="E284" s="92"/>
      <c r="F284" s="92"/>
      <c r="H284" s="93"/>
    </row>
    <row r="285" ht="15.75" customHeight="1">
      <c r="A285" s="106"/>
      <c r="B285" s="106" t="s">
        <v>868</v>
      </c>
      <c r="C285" s="106"/>
      <c r="D285" s="106"/>
      <c r="E285" s="115" t="s">
        <v>869</v>
      </c>
      <c r="F285" s="115"/>
      <c r="G285" s="106"/>
      <c r="H285" s="116" t="s">
        <v>870</v>
      </c>
      <c r="I285" s="106"/>
      <c r="J285" s="106" t="s">
        <v>871</v>
      </c>
      <c r="K285" s="106" t="s">
        <v>872</v>
      </c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 ht="15.75" customHeight="1">
      <c r="A286" s="117"/>
      <c r="B286" s="117" t="s">
        <v>873</v>
      </c>
      <c r="C286" s="117"/>
      <c r="D286" s="117" t="s">
        <v>874</v>
      </c>
      <c r="E286" s="118" t="s">
        <v>875</v>
      </c>
      <c r="F286" s="118"/>
      <c r="G286" s="119" t="s">
        <v>876</v>
      </c>
      <c r="H286" s="120"/>
      <c r="I286" s="117" t="s">
        <v>877</v>
      </c>
      <c r="J286" s="117" t="s">
        <v>871</v>
      </c>
      <c r="K286" s="117" t="s">
        <v>878</v>
      </c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ht="15.75" customHeight="1">
      <c r="A287" s="121"/>
      <c r="B287" s="121" t="s">
        <v>879</v>
      </c>
      <c r="C287" s="121"/>
      <c r="D287" s="121"/>
      <c r="E287" s="122"/>
      <c r="F287" s="122"/>
      <c r="G287" s="123"/>
      <c r="H287" s="124"/>
      <c r="I287" s="121"/>
      <c r="J287" s="121" t="s">
        <v>871</v>
      </c>
      <c r="K287" s="121" t="s">
        <v>880</v>
      </c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</row>
    <row r="288" ht="15.75" customHeight="1">
      <c r="A288" s="100"/>
      <c r="B288" s="100" t="s">
        <v>881</v>
      </c>
      <c r="C288" s="100"/>
      <c r="D288" s="100"/>
      <c r="E288" s="101"/>
      <c r="F288" s="101"/>
      <c r="G288" s="100"/>
      <c r="H288" s="103"/>
      <c r="I288" s="100"/>
      <c r="J288" s="100" t="s">
        <v>871</v>
      </c>
      <c r="K288" s="100" t="s">
        <v>882</v>
      </c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B289" s="99" t="s">
        <v>883</v>
      </c>
      <c r="E289" s="92"/>
      <c r="F289" s="92"/>
      <c r="H289" s="93"/>
      <c r="J289" s="99" t="s">
        <v>871</v>
      </c>
    </row>
    <row r="290" ht="15.75" customHeight="1">
      <c r="A290" s="121"/>
      <c r="B290" s="121" t="s">
        <v>884</v>
      </c>
      <c r="C290" s="121"/>
      <c r="D290" s="121"/>
      <c r="E290" s="122"/>
      <c r="F290" s="122"/>
      <c r="G290" s="121"/>
      <c r="H290" s="124"/>
      <c r="I290" s="121"/>
      <c r="J290" s="121" t="s">
        <v>871</v>
      </c>
      <c r="K290" s="121" t="s">
        <v>885</v>
      </c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</row>
    <row r="291" ht="15.75" customHeight="1">
      <c r="B291" s="99" t="s">
        <v>886</v>
      </c>
      <c r="E291" s="92"/>
      <c r="F291" s="92"/>
      <c r="H291" s="93"/>
      <c r="J291" s="99" t="s">
        <v>871</v>
      </c>
    </row>
    <row r="292" ht="15.75" customHeight="1">
      <c r="A292" s="100"/>
      <c r="B292" s="100" t="s">
        <v>887</v>
      </c>
      <c r="C292" s="100"/>
      <c r="D292" s="100"/>
      <c r="E292" s="101"/>
      <c r="F292" s="101"/>
      <c r="G292" s="100"/>
      <c r="H292" s="103"/>
      <c r="I292" s="100"/>
      <c r="J292" s="100" t="s">
        <v>871</v>
      </c>
      <c r="K292" s="100" t="s">
        <v>882</v>
      </c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00"/>
      <c r="B293" s="100" t="s">
        <v>888</v>
      </c>
      <c r="C293" s="100"/>
      <c r="D293" s="100"/>
      <c r="E293" s="101"/>
      <c r="F293" s="101"/>
      <c r="G293" s="100"/>
      <c r="H293" s="103"/>
      <c r="I293" s="100"/>
      <c r="J293" s="100" t="s">
        <v>871</v>
      </c>
      <c r="K293" s="100" t="s">
        <v>882</v>
      </c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00"/>
      <c r="B294" s="100" t="s">
        <v>889</v>
      </c>
      <c r="C294" s="100"/>
      <c r="D294" s="100"/>
      <c r="E294" s="101"/>
      <c r="F294" s="101"/>
      <c r="G294" s="100"/>
      <c r="H294" s="103"/>
      <c r="I294" s="100"/>
      <c r="J294" s="100" t="s">
        <v>871</v>
      </c>
      <c r="K294" s="100" t="s">
        <v>882</v>
      </c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B295" s="99" t="s">
        <v>890</v>
      </c>
      <c r="E295" s="92"/>
      <c r="F295" s="92"/>
      <c r="H295" s="93" t="s">
        <v>891</v>
      </c>
      <c r="J295" s="99" t="s">
        <v>871</v>
      </c>
    </row>
    <row r="296" ht="15.75" customHeight="1">
      <c r="B296" s="99" t="s">
        <v>401</v>
      </c>
      <c r="E296" s="92"/>
      <c r="F296" s="92"/>
      <c r="H296" s="93" t="s">
        <v>892</v>
      </c>
      <c r="J296" s="99" t="s">
        <v>871</v>
      </c>
    </row>
    <row r="297" ht="15.75" customHeight="1">
      <c r="B297" s="99" t="s">
        <v>893</v>
      </c>
      <c r="E297" s="92"/>
      <c r="F297" s="92"/>
      <c r="H297" s="93" t="s">
        <v>894</v>
      </c>
      <c r="J297" s="99" t="s">
        <v>871</v>
      </c>
    </row>
    <row r="298" ht="15.75" customHeight="1">
      <c r="B298" s="99" t="s">
        <v>895</v>
      </c>
      <c r="E298" s="92"/>
      <c r="F298" s="92"/>
      <c r="H298" s="93" t="s">
        <v>896</v>
      </c>
      <c r="J298" s="99" t="s">
        <v>871</v>
      </c>
    </row>
    <row r="299" ht="15.75" customHeight="1">
      <c r="B299" s="99" t="s">
        <v>897</v>
      </c>
      <c r="E299" s="92"/>
      <c r="F299" s="92"/>
      <c r="H299" s="93" t="s">
        <v>898</v>
      </c>
      <c r="J299" s="99" t="s">
        <v>871</v>
      </c>
    </row>
    <row r="300" ht="15.75" customHeight="1">
      <c r="B300" s="99" t="s">
        <v>899</v>
      </c>
      <c r="E300" s="92"/>
      <c r="F300" s="92"/>
      <c r="H300" s="93" t="s">
        <v>900</v>
      </c>
      <c r="J300" s="99" t="s">
        <v>871</v>
      </c>
    </row>
    <row r="301" ht="15.75" customHeight="1">
      <c r="B301" s="99" t="s">
        <v>901</v>
      </c>
      <c r="E301" s="92"/>
      <c r="F301" s="92"/>
      <c r="H301" s="93" t="s">
        <v>760</v>
      </c>
      <c r="J301" s="99" t="s">
        <v>871</v>
      </c>
    </row>
    <row r="302" ht="15.75" customHeight="1">
      <c r="B302" s="99" t="s">
        <v>902</v>
      </c>
      <c r="E302" s="92"/>
      <c r="F302" s="92"/>
      <c r="H302" s="93"/>
      <c r="J302" s="99" t="s">
        <v>871</v>
      </c>
    </row>
    <row r="303" ht="15.75" customHeight="1">
      <c r="B303" s="99" t="s">
        <v>903</v>
      </c>
      <c r="E303" s="92"/>
      <c r="F303" s="92"/>
      <c r="H303" s="93" t="s">
        <v>904</v>
      </c>
      <c r="J303" s="99" t="s">
        <v>905</v>
      </c>
    </row>
    <row r="304" ht="15.75" customHeight="1">
      <c r="A304" s="97"/>
      <c r="B304" s="97" t="s">
        <v>906</v>
      </c>
      <c r="C304" s="97"/>
      <c r="D304" s="97"/>
      <c r="E304" s="92"/>
      <c r="F304" s="92"/>
      <c r="G304" s="97"/>
      <c r="H304" s="93" t="s">
        <v>616</v>
      </c>
      <c r="I304" s="97"/>
      <c r="J304" s="97" t="s">
        <v>871</v>
      </c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ht="15.75" customHeight="1">
      <c r="A305" s="97"/>
      <c r="B305" s="97" t="s">
        <v>907</v>
      </c>
      <c r="C305" s="97"/>
      <c r="D305" s="97"/>
      <c r="E305" s="92"/>
      <c r="F305" s="92"/>
      <c r="G305" s="97"/>
      <c r="H305" s="93" t="s">
        <v>499</v>
      </c>
      <c r="I305" s="97"/>
      <c r="J305" s="97" t="s">
        <v>871</v>
      </c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ht="15.75" customHeight="1">
      <c r="A306" s="97"/>
      <c r="B306" s="97" t="s">
        <v>908</v>
      </c>
      <c r="C306" s="97"/>
      <c r="D306" s="97"/>
      <c r="E306" s="92"/>
      <c r="F306" s="92"/>
      <c r="G306" s="97"/>
      <c r="H306" s="93"/>
      <c r="I306" s="97"/>
      <c r="J306" s="97" t="s">
        <v>871</v>
      </c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ht="15.75" customHeight="1">
      <c r="A307" s="97"/>
      <c r="B307" s="97" t="s">
        <v>909</v>
      </c>
      <c r="C307" s="97"/>
      <c r="D307" s="97"/>
      <c r="E307" s="92"/>
      <c r="F307" s="92"/>
      <c r="G307" s="97"/>
      <c r="H307" s="93" t="s">
        <v>910</v>
      </c>
      <c r="I307" s="97"/>
      <c r="J307" s="97" t="s">
        <v>871</v>
      </c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ht="15.75" customHeight="1">
      <c r="B308" s="97" t="s">
        <v>911</v>
      </c>
      <c r="E308" s="92"/>
      <c r="F308" s="92"/>
      <c r="H308" s="93" t="s">
        <v>414</v>
      </c>
      <c r="J308" s="97" t="s">
        <v>871</v>
      </c>
    </row>
    <row r="309" ht="15.75" customHeight="1">
      <c r="E309" s="92"/>
      <c r="F309" s="92"/>
      <c r="H309" s="93"/>
    </row>
    <row r="310" ht="15.75" customHeight="1">
      <c r="E310" s="92"/>
      <c r="F310" s="92"/>
      <c r="H310" s="93"/>
    </row>
    <row r="311" ht="15.75" customHeight="1">
      <c r="A311" s="94"/>
      <c r="B311" s="94" t="s">
        <v>912</v>
      </c>
      <c r="C311" s="94"/>
      <c r="D311" s="94"/>
      <c r="E311" s="95"/>
      <c r="F311" s="95"/>
      <c r="G311" s="94"/>
      <c r="H311" s="96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ht="15.75" customHeight="1">
      <c r="B312" s="99" t="s">
        <v>913</v>
      </c>
      <c r="E312" s="92"/>
      <c r="F312" s="92"/>
      <c r="H312" s="93"/>
    </row>
    <row r="313" ht="15.75" customHeight="1">
      <c r="B313" s="99" t="s">
        <v>914</v>
      </c>
      <c r="E313" s="92"/>
      <c r="F313" s="92"/>
      <c r="H313" s="93"/>
    </row>
    <row r="314" ht="15.75" customHeight="1">
      <c r="B314" s="99" t="s">
        <v>915</v>
      </c>
      <c r="E314" s="92"/>
      <c r="F314" s="92"/>
      <c r="H314" s="93"/>
    </row>
    <row r="315" ht="15.75" customHeight="1">
      <c r="B315" s="99" t="s">
        <v>916</v>
      </c>
      <c r="E315" s="92"/>
      <c r="F315" s="92"/>
      <c r="H315" s="93"/>
    </row>
    <row r="316" ht="15.75" customHeight="1">
      <c r="B316" s="99" t="s">
        <v>917</v>
      </c>
      <c r="E316" s="92"/>
      <c r="F316" s="92"/>
      <c r="H316" s="93"/>
    </row>
    <row r="317" ht="15.75" customHeight="1">
      <c r="B317" s="99" t="s">
        <v>918</v>
      </c>
      <c r="E317" s="92"/>
      <c r="F317" s="92"/>
      <c r="H317" s="93"/>
    </row>
    <row r="318" ht="15.75" customHeight="1">
      <c r="B318" s="99" t="s">
        <v>919</v>
      </c>
      <c r="E318" s="92"/>
      <c r="F318" s="92"/>
      <c r="H318" s="93"/>
    </row>
    <row r="319" ht="15.75" customHeight="1">
      <c r="B319" s="99" t="s">
        <v>920</v>
      </c>
      <c r="E319" s="92"/>
      <c r="F319" s="92"/>
      <c r="H319" s="93"/>
    </row>
    <row r="320" ht="15.75" customHeight="1">
      <c r="B320" s="99" t="s">
        <v>921</v>
      </c>
      <c r="E320" s="92"/>
      <c r="F320" s="92"/>
      <c r="H320" s="93"/>
    </row>
    <row r="321" ht="15.75" customHeight="1">
      <c r="E321" s="92"/>
      <c r="F321" s="92"/>
      <c r="H321" s="93"/>
    </row>
    <row r="322" ht="15.75" customHeight="1">
      <c r="E322" s="92"/>
      <c r="F322" s="92"/>
      <c r="H322" s="93"/>
    </row>
    <row r="323" ht="15.75" customHeight="1">
      <c r="E323" s="92"/>
      <c r="F323" s="92"/>
      <c r="H323" s="93"/>
    </row>
    <row r="324" ht="15.75" customHeight="1">
      <c r="E324" s="92"/>
      <c r="F324" s="92"/>
      <c r="H324" s="93"/>
    </row>
    <row r="325" ht="15.75" customHeight="1">
      <c r="E325" s="92"/>
      <c r="F325" s="92"/>
      <c r="H325" s="93"/>
    </row>
    <row r="326" ht="15.75" customHeight="1">
      <c r="E326" s="92"/>
      <c r="F326" s="92"/>
      <c r="H326" s="93"/>
    </row>
    <row r="327" ht="15.75" customHeight="1">
      <c r="E327" s="92"/>
      <c r="F327" s="92"/>
      <c r="H327" s="93"/>
    </row>
    <row r="328" ht="15.75" customHeight="1">
      <c r="E328" s="92"/>
      <c r="F328" s="92"/>
      <c r="H328" s="93"/>
    </row>
    <row r="329" ht="15.75" customHeight="1">
      <c r="E329" s="92"/>
      <c r="F329" s="92"/>
      <c r="H329" s="93"/>
    </row>
    <row r="330" ht="15.75" customHeight="1">
      <c r="E330" s="92"/>
      <c r="F330" s="92"/>
      <c r="H330" s="93"/>
    </row>
    <row r="331" ht="15.75" customHeight="1">
      <c r="E331" s="92"/>
      <c r="F331" s="92"/>
      <c r="H331" s="93"/>
    </row>
    <row r="332" ht="15.75" customHeight="1">
      <c r="E332" s="92"/>
      <c r="F332" s="92"/>
      <c r="H332" s="93"/>
    </row>
    <row r="333" ht="15.75" customHeight="1">
      <c r="E333" s="92"/>
      <c r="F333" s="92"/>
      <c r="H333" s="93"/>
    </row>
    <row r="334" ht="15.75" customHeight="1">
      <c r="E334" s="92"/>
      <c r="F334" s="92"/>
      <c r="H334" s="93"/>
    </row>
    <row r="335" ht="15.75" customHeight="1">
      <c r="E335" s="92"/>
      <c r="F335" s="92"/>
      <c r="H335" s="93"/>
    </row>
    <row r="336" ht="15.75" customHeight="1">
      <c r="E336" s="92"/>
      <c r="F336" s="92"/>
      <c r="H336" s="93"/>
    </row>
    <row r="337" ht="15.75" customHeight="1">
      <c r="E337" s="92"/>
      <c r="F337" s="92"/>
      <c r="H337" s="93"/>
    </row>
    <row r="338" ht="15.75" customHeight="1">
      <c r="E338" s="92"/>
      <c r="F338" s="92"/>
      <c r="H338" s="93"/>
    </row>
    <row r="339" ht="15.75" customHeight="1">
      <c r="E339" s="92"/>
      <c r="F339" s="92"/>
      <c r="H339" s="93"/>
    </row>
    <row r="340" ht="15.75" customHeight="1">
      <c r="E340" s="92"/>
      <c r="F340" s="92"/>
      <c r="H340" s="93"/>
    </row>
    <row r="341" ht="15.75" customHeight="1">
      <c r="E341" s="92"/>
      <c r="F341" s="92"/>
      <c r="H341" s="93"/>
    </row>
    <row r="342" ht="15.75" customHeight="1">
      <c r="E342" s="92"/>
      <c r="F342" s="92"/>
      <c r="H342" s="93"/>
    </row>
    <row r="343" ht="15.75" customHeight="1">
      <c r="E343" s="92"/>
      <c r="F343" s="92"/>
      <c r="H343" s="93"/>
    </row>
    <row r="344" ht="15.75" customHeight="1">
      <c r="E344" s="92"/>
      <c r="F344" s="92"/>
      <c r="H344" s="93"/>
    </row>
    <row r="345" ht="15.75" customHeight="1">
      <c r="E345" s="92"/>
      <c r="F345" s="92"/>
      <c r="H345" s="93"/>
    </row>
    <row r="346" ht="15.75" customHeight="1">
      <c r="E346" s="92"/>
      <c r="F346" s="92"/>
      <c r="H346" s="93"/>
    </row>
    <row r="347" ht="15.75" customHeight="1">
      <c r="E347" s="92"/>
      <c r="F347" s="92"/>
      <c r="H347" s="93"/>
    </row>
    <row r="348" ht="15.75" customHeight="1">
      <c r="E348" s="92"/>
      <c r="F348" s="92"/>
      <c r="H348" s="93"/>
    </row>
    <row r="349" ht="15.75" customHeight="1">
      <c r="E349" s="92"/>
      <c r="F349" s="92"/>
      <c r="H349" s="93"/>
    </row>
    <row r="350" ht="15.75" customHeight="1">
      <c r="E350" s="92"/>
      <c r="F350" s="92"/>
      <c r="H350" s="93"/>
    </row>
    <row r="351" ht="15.75" customHeight="1">
      <c r="E351" s="92"/>
      <c r="F351" s="92"/>
      <c r="H351" s="93"/>
    </row>
    <row r="352" ht="15.75" customHeight="1">
      <c r="E352" s="92"/>
      <c r="F352" s="92"/>
      <c r="H352" s="93"/>
    </row>
    <row r="353" ht="15.75" customHeight="1">
      <c r="E353" s="92"/>
      <c r="F353" s="92"/>
      <c r="H353" s="93"/>
    </row>
    <row r="354" ht="15.75" customHeight="1">
      <c r="E354" s="92"/>
      <c r="F354" s="92"/>
      <c r="H354" s="93"/>
    </row>
    <row r="355" ht="15.75" customHeight="1">
      <c r="E355" s="92"/>
      <c r="F355" s="92"/>
      <c r="H355" s="93"/>
    </row>
    <row r="356" ht="15.75" customHeight="1">
      <c r="E356" s="92"/>
      <c r="F356" s="92"/>
      <c r="H356" s="93"/>
    </row>
    <row r="357" ht="15.75" customHeight="1">
      <c r="E357" s="92"/>
      <c r="F357" s="92"/>
      <c r="H357" s="93"/>
    </row>
    <row r="358" ht="15.75" customHeight="1">
      <c r="E358" s="92"/>
      <c r="F358" s="92"/>
      <c r="H358" s="93"/>
    </row>
    <row r="359" ht="15.75" customHeight="1">
      <c r="E359" s="92"/>
      <c r="F359" s="92"/>
      <c r="H359" s="93"/>
    </row>
    <row r="360" ht="15.75" customHeight="1">
      <c r="E360" s="92"/>
      <c r="F360" s="92"/>
      <c r="H360" s="93"/>
    </row>
    <row r="361" ht="15.75" customHeight="1">
      <c r="E361" s="92"/>
      <c r="F361" s="92"/>
      <c r="H361" s="93"/>
    </row>
    <row r="362" ht="15.75" customHeight="1">
      <c r="E362" s="92"/>
      <c r="F362" s="92"/>
      <c r="H362" s="93"/>
    </row>
    <row r="363" ht="15.75" customHeight="1">
      <c r="E363" s="92"/>
      <c r="F363" s="92"/>
      <c r="H363" s="93"/>
    </row>
    <row r="364" ht="15.75" customHeight="1">
      <c r="E364" s="92"/>
      <c r="F364" s="92"/>
      <c r="H364" s="93"/>
    </row>
    <row r="365" ht="15.75" customHeight="1">
      <c r="E365" s="92"/>
      <c r="F365" s="92"/>
      <c r="H365" s="93"/>
    </row>
    <row r="366" ht="15.75" customHeight="1">
      <c r="E366" s="92"/>
      <c r="F366" s="92"/>
      <c r="H366" s="93"/>
    </row>
    <row r="367" ht="15.75" customHeight="1">
      <c r="E367" s="92"/>
      <c r="F367" s="92"/>
      <c r="H367" s="93"/>
    </row>
    <row r="368" ht="15.75" customHeight="1">
      <c r="E368" s="92"/>
      <c r="F368" s="92"/>
      <c r="H368" s="93"/>
    </row>
    <row r="369" ht="15.75" customHeight="1">
      <c r="E369" s="92"/>
      <c r="F369" s="92"/>
      <c r="H369" s="93"/>
    </row>
    <row r="370" ht="15.75" customHeight="1">
      <c r="E370" s="92"/>
      <c r="F370" s="92"/>
      <c r="H370" s="93"/>
    </row>
    <row r="371" ht="15.75" customHeight="1">
      <c r="E371" s="92"/>
      <c r="F371" s="92"/>
      <c r="H371" s="93"/>
    </row>
    <row r="372" ht="15.75" customHeight="1">
      <c r="E372" s="92"/>
      <c r="F372" s="92"/>
      <c r="H372" s="93"/>
    </row>
    <row r="373" ht="15.75" customHeight="1">
      <c r="E373" s="92"/>
      <c r="F373" s="92"/>
      <c r="H373" s="93"/>
    </row>
    <row r="374" ht="15.75" customHeight="1">
      <c r="E374" s="92"/>
      <c r="F374" s="92"/>
      <c r="H374" s="93"/>
    </row>
    <row r="375" ht="15.75" customHeight="1">
      <c r="E375" s="92"/>
      <c r="F375" s="92"/>
      <c r="H375" s="93"/>
    </row>
    <row r="376" ht="15.75" customHeight="1">
      <c r="E376" s="92"/>
      <c r="F376" s="92"/>
      <c r="H376" s="93"/>
    </row>
    <row r="377" ht="15.75" customHeight="1">
      <c r="E377" s="92"/>
      <c r="F377" s="92"/>
      <c r="H377" s="93"/>
    </row>
    <row r="378" ht="15.75" customHeight="1">
      <c r="E378" s="92"/>
      <c r="F378" s="92"/>
      <c r="H378" s="93"/>
    </row>
    <row r="379" ht="15.75" customHeight="1">
      <c r="E379" s="92"/>
      <c r="F379" s="92"/>
      <c r="H379" s="93"/>
    </row>
    <row r="380" ht="15.75" customHeight="1">
      <c r="E380" s="92"/>
      <c r="F380" s="92"/>
      <c r="H380" s="93"/>
    </row>
    <row r="381" ht="15.75" customHeight="1">
      <c r="E381" s="92"/>
      <c r="F381" s="92"/>
      <c r="H381" s="93"/>
    </row>
    <row r="382" ht="15.75" customHeight="1">
      <c r="E382" s="92"/>
      <c r="F382" s="92"/>
      <c r="H382" s="93"/>
    </row>
    <row r="383" ht="15.75" customHeight="1">
      <c r="E383" s="92"/>
      <c r="F383" s="92"/>
      <c r="H383" s="93"/>
    </row>
    <row r="384" ht="15.75" customHeight="1">
      <c r="E384" s="92"/>
      <c r="F384" s="92"/>
      <c r="H384" s="93"/>
    </row>
    <row r="385" ht="15.75" customHeight="1">
      <c r="E385" s="92"/>
      <c r="F385" s="92"/>
      <c r="H385" s="93"/>
    </row>
    <row r="386" ht="15.75" customHeight="1">
      <c r="E386" s="92"/>
      <c r="F386" s="92"/>
      <c r="H386" s="93"/>
    </row>
    <row r="387" ht="15.75" customHeight="1">
      <c r="E387" s="92"/>
      <c r="F387" s="92"/>
      <c r="H387" s="93"/>
    </row>
    <row r="388" ht="15.75" customHeight="1">
      <c r="E388" s="92"/>
      <c r="F388" s="92"/>
      <c r="H388" s="93"/>
    </row>
    <row r="389" ht="15.75" customHeight="1">
      <c r="E389" s="92"/>
      <c r="F389" s="92"/>
      <c r="H389" s="93"/>
    </row>
    <row r="390" ht="15.75" customHeight="1">
      <c r="E390" s="92"/>
      <c r="F390" s="92"/>
      <c r="H390" s="93"/>
    </row>
    <row r="391" ht="15.75" customHeight="1">
      <c r="E391" s="92"/>
      <c r="F391" s="92"/>
      <c r="H391" s="93"/>
    </row>
    <row r="392" ht="15.75" customHeight="1">
      <c r="E392" s="92"/>
      <c r="F392" s="92"/>
      <c r="H392" s="93"/>
    </row>
    <row r="393" ht="15.75" customHeight="1">
      <c r="E393" s="92"/>
      <c r="F393" s="92"/>
      <c r="H393" s="93"/>
    </row>
    <row r="394" ht="15.75" customHeight="1">
      <c r="E394" s="92"/>
      <c r="F394" s="92"/>
      <c r="H394" s="93"/>
    </row>
    <row r="395" ht="15.75" customHeight="1">
      <c r="E395" s="92"/>
      <c r="F395" s="92"/>
      <c r="H395" s="93"/>
    </row>
    <row r="396" ht="15.75" customHeight="1">
      <c r="E396" s="92"/>
      <c r="F396" s="92"/>
      <c r="H396" s="93"/>
    </row>
    <row r="397" ht="15.75" customHeight="1">
      <c r="E397" s="92"/>
      <c r="F397" s="92"/>
      <c r="H397" s="93"/>
    </row>
    <row r="398" ht="15.75" customHeight="1">
      <c r="E398" s="92"/>
      <c r="F398" s="92"/>
      <c r="H398" s="93"/>
    </row>
    <row r="399" ht="15.75" customHeight="1">
      <c r="E399" s="92"/>
      <c r="F399" s="92"/>
      <c r="H399" s="93"/>
    </row>
    <row r="400" ht="15.75" customHeight="1">
      <c r="E400" s="92"/>
      <c r="F400" s="92"/>
      <c r="H400" s="93"/>
    </row>
    <row r="401" ht="15.75" customHeight="1">
      <c r="E401" s="92"/>
      <c r="F401" s="92"/>
      <c r="H401" s="93"/>
    </row>
    <row r="402" ht="15.75" customHeight="1">
      <c r="E402" s="92"/>
      <c r="F402" s="92"/>
      <c r="H402" s="93"/>
    </row>
    <row r="403" ht="15.75" customHeight="1">
      <c r="E403" s="92"/>
      <c r="F403" s="92"/>
      <c r="H403" s="93"/>
    </row>
    <row r="404" ht="15.75" customHeight="1">
      <c r="E404" s="92"/>
      <c r="F404" s="92"/>
      <c r="H404" s="93"/>
    </row>
    <row r="405" ht="15.75" customHeight="1">
      <c r="E405" s="92"/>
      <c r="F405" s="92"/>
      <c r="H405" s="93"/>
    </row>
    <row r="406" ht="15.75" customHeight="1">
      <c r="E406" s="92"/>
      <c r="F406" s="92"/>
      <c r="H406" s="93"/>
    </row>
    <row r="407" ht="15.75" customHeight="1">
      <c r="E407" s="92"/>
      <c r="F407" s="92"/>
      <c r="H407" s="93"/>
    </row>
    <row r="408" ht="15.75" customHeight="1">
      <c r="E408" s="92"/>
      <c r="F408" s="92"/>
      <c r="H408" s="93"/>
    </row>
    <row r="409" ht="15.75" customHeight="1">
      <c r="E409" s="92"/>
      <c r="F409" s="92"/>
      <c r="H409" s="93"/>
    </row>
    <row r="410" ht="15.75" customHeight="1">
      <c r="E410" s="92"/>
      <c r="F410" s="92"/>
      <c r="H410" s="93"/>
    </row>
    <row r="411" ht="15.75" customHeight="1">
      <c r="E411" s="92"/>
      <c r="F411" s="92"/>
      <c r="H411" s="93"/>
    </row>
    <row r="412" ht="15.75" customHeight="1">
      <c r="E412" s="92"/>
      <c r="F412" s="92"/>
      <c r="H412" s="93"/>
    </row>
    <row r="413" ht="15.75" customHeight="1">
      <c r="E413" s="92"/>
      <c r="F413" s="92"/>
      <c r="H413" s="93"/>
    </row>
    <row r="414" ht="15.75" customHeight="1">
      <c r="E414" s="92"/>
      <c r="F414" s="92"/>
      <c r="H414" s="93"/>
    </row>
    <row r="415" ht="15.75" customHeight="1">
      <c r="E415" s="92"/>
      <c r="F415" s="92"/>
      <c r="H415" s="93"/>
    </row>
    <row r="416" ht="15.75" customHeight="1">
      <c r="E416" s="92"/>
      <c r="F416" s="92"/>
      <c r="H416" s="93"/>
    </row>
    <row r="417" ht="15.75" customHeight="1">
      <c r="E417" s="92"/>
      <c r="F417" s="92"/>
      <c r="H417" s="93"/>
    </row>
    <row r="418" ht="15.75" customHeight="1">
      <c r="E418" s="92"/>
      <c r="F418" s="92"/>
      <c r="H418" s="93"/>
    </row>
    <row r="419" ht="15.75" customHeight="1">
      <c r="E419" s="92"/>
      <c r="F419" s="92"/>
      <c r="H419" s="93"/>
    </row>
    <row r="420" ht="15.75" customHeight="1">
      <c r="E420" s="92"/>
      <c r="F420" s="92"/>
      <c r="H420" s="93"/>
    </row>
    <row r="421" ht="15.75" customHeight="1">
      <c r="E421" s="92"/>
      <c r="F421" s="92"/>
      <c r="H421" s="93"/>
    </row>
    <row r="422" ht="15.75" customHeight="1">
      <c r="E422" s="92"/>
      <c r="F422" s="92"/>
      <c r="H422" s="93"/>
    </row>
    <row r="423" ht="15.75" customHeight="1">
      <c r="E423" s="92"/>
      <c r="F423" s="92"/>
      <c r="H423" s="93"/>
    </row>
    <row r="424" ht="15.75" customHeight="1">
      <c r="E424" s="92"/>
      <c r="F424" s="92"/>
      <c r="H424" s="93"/>
    </row>
    <row r="425" ht="15.75" customHeight="1">
      <c r="E425" s="92"/>
      <c r="F425" s="92"/>
      <c r="H425" s="93"/>
    </row>
    <row r="426" ht="15.75" customHeight="1">
      <c r="E426" s="92"/>
      <c r="F426" s="92"/>
      <c r="H426" s="93"/>
    </row>
    <row r="427" ht="15.75" customHeight="1">
      <c r="E427" s="92"/>
      <c r="F427" s="92"/>
      <c r="H427" s="93"/>
    </row>
    <row r="428" ht="15.75" customHeight="1">
      <c r="E428" s="92"/>
      <c r="F428" s="92"/>
      <c r="H428" s="93"/>
    </row>
    <row r="429" ht="15.75" customHeight="1">
      <c r="E429" s="92"/>
      <c r="F429" s="92"/>
      <c r="H429" s="93"/>
    </row>
    <row r="430" ht="15.75" customHeight="1">
      <c r="E430" s="92"/>
      <c r="F430" s="92"/>
      <c r="H430" s="93"/>
    </row>
    <row r="431" ht="15.75" customHeight="1">
      <c r="E431" s="92"/>
      <c r="F431" s="92"/>
      <c r="H431" s="93"/>
    </row>
    <row r="432" ht="15.75" customHeight="1">
      <c r="E432" s="92"/>
      <c r="F432" s="92"/>
      <c r="H432" s="93"/>
    </row>
    <row r="433" ht="15.75" customHeight="1">
      <c r="E433" s="92"/>
      <c r="F433" s="92"/>
      <c r="H433" s="93"/>
    </row>
    <row r="434" ht="15.75" customHeight="1">
      <c r="E434" s="92"/>
      <c r="F434" s="92"/>
      <c r="H434" s="93"/>
    </row>
    <row r="435" ht="15.75" customHeight="1">
      <c r="E435" s="92"/>
      <c r="F435" s="92"/>
      <c r="H435" s="93"/>
    </row>
    <row r="436" ht="15.75" customHeight="1">
      <c r="E436" s="92"/>
      <c r="F436" s="92"/>
      <c r="H436" s="93"/>
    </row>
    <row r="437" ht="15.75" customHeight="1">
      <c r="E437" s="92"/>
      <c r="F437" s="92"/>
      <c r="H437" s="93"/>
    </row>
    <row r="438" ht="15.75" customHeight="1">
      <c r="E438" s="92"/>
      <c r="F438" s="92"/>
      <c r="H438" s="93"/>
    </row>
    <row r="439" ht="15.75" customHeight="1">
      <c r="E439" s="92"/>
      <c r="F439" s="92"/>
      <c r="H439" s="93"/>
    </row>
    <row r="440" ht="15.75" customHeight="1">
      <c r="E440" s="92"/>
      <c r="F440" s="92"/>
      <c r="H440" s="93"/>
    </row>
    <row r="441" ht="15.75" customHeight="1">
      <c r="E441" s="92"/>
      <c r="F441" s="92"/>
      <c r="H441" s="93"/>
    </row>
    <row r="442" ht="15.75" customHeight="1">
      <c r="E442" s="92"/>
      <c r="F442" s="92"/>
      <c r="H442" s="93"/>
    </row>
    <row r="443" ht="15.75" customHeight="1">
      <c r="E443" s="92"/>
      <c r="F443" s="92"/>
      <c r="H443" s="93"/>
    </row>
    <row r="444" ht="15.75" customHeight="1">
      <c r="E444" s="92"/>
      <c r="F444" s="92"/>
      <c r="H444" s="93"/>
    </row>
    <row r="445" ht="15.75" customHeight="1">
      <c r="E445" s="92"/>
      <c r="F445" s="92"/>
      <c r="H445" s="93"/>
    </row>
    <row r="446" ht="15.75" customHeight="1">
      <c r="E446" s="92"/>
      <c r="F446" s="92"/>
      <c r="H446" s="93"/>
    </row>
    <row r="447" ht="15.75" customHeight="1">
      <c r="E447" s="92"/>
      <c r="F447" s="92"/>
      <c r="H447" s="93"/>
    </row>
    <row r="448" ht="15.75" customHeight="1">
      <c r="E448" s="92"/>
      <c r="F448" s="92"/>
      <c r="H448" s="93"/>
    </row>
    <row r="449" ht="15.75" customHeight="1">
      <c r="E449" s="92"/>
      <c r="F449" s="92"/>
      <c r="H449" s="93"/>
    </row>
    <row r="450" ht="15.75" customHeight="1">
      <c r="E450" s="92"/>
      <c r="F450" s="92"/>
      <c r="H450" s="93"/>
    </row>
    <row r="451" ht="15.75" customHeight="1">
      <c r="E451" s="92"/>
      <c r="F451" s="92"/>
      <c r="H451" s="93"/>
    </row>
    <row r="452" ht="15.75" customHeight="1">
      <c r="E452" s="92"/>
      <c r="F452" s="92"/>
      <c r="H452" s="93"/>
    </row>
    <row r="453" ht="15.75" customHeight="1">
      <c r="E453" s="92"/>
      <c r="F453" s="92"/>
      <c r="H453" s="93"/>
    </row>
    <row r="454" ht="15.75" customHeight="1">
      <c r="E454" s="92"/>
      <c r="F454" s="92"/>
      <c r="H454" s="93"/>
    </row>
    <row r="455" ht="15.75" customHeight="1">
      <c r="E455" s="92"/>
      <c r="F455" s="92"/>
      <c r="H455" s="93"/>
    </row>
    <row r="456" ht="15.75" customHeight="1">
      <c r="E456" s="92"/>
      <c r="F456" s="92"/>
      <c r="H456" s="93"/>
    </row>
    <row r="457" ht="15.75" customHeight="1">
      <c r="E457" s="92"/>
      <c r="F457" s="92"/>
      <c r="H457" s="93"/>
    </row>
    <row r="458" ht="15.75" customHeight="1">
      <c r="E458" s="92"/>
      <c r="F458" s="92"/>
      <c r="H458" s="93"/>
    </row>
    <row r="459" ht="15.75" customHeight="1">
      <c r="E459" s="92"/>
      <c r="F459" s="92"/>
      <c r="H459" s="93"/>
    </row>
    <row r="460" ht="15.75" customHeight="1">
      <c r="E460" s="92"/>
      <c r="F460" s="92"/>
      <c r="H460" s="93"/>
    </row>
    <row r="461" ht="15.75" customHeight="1">
      <c r="E461" s="92"/>
      <c r="F461" s="92"/>
      <c r="H461" s="93"/>
    </row>
    <row r="462" ht="15.75" customHeight="1">
      <c r="E462" s="92"/>
      <c r="F462" s="92"/>
      <c r="H462" s="93"/>
    </row>
    <row r="463" ht="15.75" customHeight="1">
      <c r="E463" s="92"/>
      <c r="F463" s="92"/>
      <c r="H463" s="93"/>
    </row>
    <row r="464" ht="15.75" customHeight="1">
      <c r="E464" s="92"/>
      <c r="F464" s="92"/>
      <c r="H464" s="93"/>
    </row>
    <row r="465" ht="15.75" customHeight="1">
      <c r="E465" s="92"/>
      <c r="F465" s="92"/>
      <c r="H465" s="93"/>
    </row>
    <row r="466" ht="15.75" customHeight="1">
      <c r="E466" s="92"/>
      <c r="F466" s="92"/>
      <c r="H466" s="93"/>
    </row>
    <row r="467" ht="15.75" customHeight="1">
      <c r="E467" s="92"/>
      <c r="F467" s="92"/>
      <c r="H467" s="93"/>
    </row>
    <row r="468" ht="15.75" customHeight="1">
      <c r="E468" s="92"/>
      <c r="F468" s="92"/>
      <c r="H468" s="93"/>
    </row>
    <row r="469" ht="15.75" customHeight="1">
      <c r="E469" s="92"/>
      <c r="F469" s="92"/>
      <c r="H469" s="93"/>
    </row>
    <row r="470" ht="15.75" customHeight="1">
      <c r="E470" s="92"/>
      <c r="F470" s="92"/>
      <c r="H470" s="93"/>
    </row>
    <row r="471" ht="15.75" customHeight="1">
      <c r="E471" s="92"/>
      <c r="F471" s="92"/>
      <c r="H471" s="93"/>
    </row>
    <row r="472" ht="15.75" customHeight="1">
      <c r="E472" s="92"/>
      <c r="F472" s="92"/>
      <c r="H472" s="93"/>
    </row>
    <row r="473" ht="15.75" customHeight="1">
      <c r="E473" s="92"/>
      <c r="F473" s="92"/>
      <c r="H473" s="93"/>
    </row>
    <row r="474" ht="15.75" customHeight="1">
      <c r="E474" s="92"/>
      <c r="F474" s="92"/>
      <c r="H474" s="93"/>
    </row>
    <row r="475" ht="15.75" customHeight="1">
      <c r="E475" s="92"/>
      <c r="F475" s="92"/>
      <c r="H475" s="93"/>
    </row>
    <row r="476" ht="15.75" customHeight="1">
      <c r="E476" s="92"/>
      <c r="F476" s="92"/>
      <c r="H476" s="93"/>
    </row>
    <row r="477" ht="15.75" customHeight="1">
      <c r="E477" s="92"/>
      <c r="F477" s="92"/>
      <c r="H477" s="93"/>
    </row>
    <row r="478" ht="15.75" customHeight="1">
      <c r="E478" s="92"/>
      <c r="F478" s="92"/>
      <c r="H478" s="93"/>
    </row>
    <row r="479" ht="15.75" customHeight="1">
      <c r="E479" s="92"/>
      <c r="F479" s="92"/>
      <c r="H479" s="93"/>
    </row>
    <row r="480" ht="15.75" customHeight="1">
      <c r="E480" s="92"/>
      <c r="F480" s="92"/>
      <c r="H480" s="93"/>
    </row>
    <row r="481" ht="15.75" customHeight="1">
      <c r="E481" s="92"/>
      <c r="F481" s="92"/>
      <c r="H481" s="93"/>
    </row>
    <row r="482" ht="15.75" customHeight="1">
      <c r="E482" s="92"/>
      <c r="F482" s="92"/>
      <c r="H482" s="93"/>
    </row>
    <row r="483" ht="15.75" customHeight="1">
      <c r="E483" s="92"/>
      <c r="F483" s="92"/>
      <c r="H483" s="93"/>
    </row>
    <row r="484" ht="15.75" customHeight="1">
      <c r="E484" s="92"/>
      <c r="F484" s="92"/>
      <c r="H484" s="93"/>
    </row>
    <row r="485" ht="15.75" customHeight="1">
      <c r="E485" s="92"/>
      <c r="F485" s="92"/>
      <c r="H485" s="93"/>
    </row>
    <row r="486" ht="15.75" customHeight="1">
      <c r="E486" s="92"/>
      <c r="F486" s="92"/>
      <c r="H486" s="93"/>
    </row>
    <row r="487" ht="15.75" customHeight="1">
      <c r="E487" s="92"/>
      <c r="F487" s="92"/>
      <c r="H487" s="93"/>
    </row>
    <row r="488" ht="15.75" customHeight="1">
      <c r="E488" s="92"/>
      <c r="F488" s="92"/>
      <c r="H488" s="93"/>
    </row>
    <row r="489" ht="15.75" customHeight="1">
      <c r="E489" s="92"/>
      <c r="F489" s="92"/>
      <c r="H489" s="93"/>
    </row>
    <row r="490" ht="15.75" customHeight="1">
      <c r="E490" s="92"/>
      <c r="F490" s="92"/>
      <c r="H490" s="93"/>
    </row>
    <row r="491" ht="15.75" customHeight="1">
      <c r="E491" s="92"/>
      <c r="F491" s="92"/>
      <c r="H491" s="93"/>
    </row>
    <row r="492" ht="15.75" customHeight="1">
      <c r="E492" s="92"/>
      <c r="F492" s="92"/>
      <c r="H492" s="93"/>
    </row>
    <row r="493" ht="15.75" customHeight="1">
      <c r="E493" s="92"/>
      <c r="F493" s="92"/>
      <c r="H493" s="93"/>
    </row>
    <row r="494" ht="15.75" customHeight="1">
      <c r="E494" s="92"/>
      <c r="F494" s="92"/>
      <c r="H494" s="93"/>
    </row>
    <row r="495" ht="15.75" customHeight="1">
      <c r="E495" s="92"/>
      <c r="F495" s="92"/>
      <c r="H495" s="93"/>
    </row>
    <row r="496" ht="15.75" customHeight="1">
      <c r="E496" s="92"/>
      <c r="F496" s="92"/>
      <c r="H496" s="93"/>
    </row>
    <row r="497" ht="15.75" customHeight="1">
      <c r="E497" s="92"/>
      <c r="F497" s="92"/>
      <c r="H497" s="93"/>
    </row>
    <row r="498" ht="15.75" customHeight="1">
      <c r="E498" s="92"/>
      <c r="F498" s="92"/>
      <c r="H498" s="93"/>
    </row>
    <row r="499" ht="15.75" customHeight="1">
      <c r="E499" s="92"/>
      <c r="F499" s="92"/>
      <c r="H499" s="93"/>
    </row>
    <row r="500" ht="15.75" customHeight="1">
      <c r="E500" s="92"/>
      <c r="F500" s="92"/>
      <c r="H500" s="93"/>
    </row>
    <row r="501" ht="15.75" customHeight="1">
      <c r="E501" s="92"/>
      <c r="F501" s="92"/>
      <c r="H501" s="93"/>
    </row>
    <row r="502" ht="15.75" customHeight="1">
      <c r="E502" s="92"/>
      <c r="F502" s="92"/>
      <c r="H502" s="93"/>
    </row>
    <row r="503" ht="15.75" customHeight="1">
      <c r="E503" s="92"/>
      <c r="F503" s="92"/>
      <c r="H503" s="93"/>
    </row>
    <row r="504" ht="15.75" customHeight="1">
      <c r="E504" s="92"/>
      <c r="F504" s="92"/>
      <c r="H504" s="93"/>
    </row>
    <row r="505" ht="15.75" customHeight="1">
      <c r="E505" s="92"/>
      <c r="F505" s="92"/>
      <c r="H505" s="93"/>
    </row>
    <row r="506" ht="15.75" customHeight="1">
      <c r="E506" s="92"/>
      <c r="F506" s="92"/>
      <c r="H506" s="93"/>
    </row>
    <row r="507" ht="15.75" customHeight="1">
      <c r="E507" s="92"/>
      <c r="F507" s="92"/>
      <c r="H507" s="93"/>
    </row>
    <row r="508" ht="15.75" customHeight="1">
      <c r="E508" s="92"/>
      <c r="F508" s="92"/>
      <c r="H508" s="93"/>
    </row>
    <row r="509" ht="15.75" customHeight="1">
      <c r="E509" s="92"/>
      <c r="F509" s="92"/>
      <c r="H509" s="93"/>
    </row>
    <row r="510" ht="15.75" customHeight="1">
      <c r="E510" s="92"/>
      <c r="F510" s="92"/>
      <c r="H510" s="93"/>
    </row>
    <row r="511" ht="15.75" customHeight="1">
      <c r="E511" s="92"/>
      <c r="F511" s="92"/>
      <c r="H511" s="93"/>
    </row>
    <row r="512" ht="15.75" customHeight="1">
      <c r="E512" s="92"/>
      <c r="F512" s="92"/>
      <c r="H512" s="93"/>
    </row>
    <row r="513" ht="15.75" customHeight="1">
      <c r="E513" s="92"/>
      <c r="F513" s="92"/>
      <c r="H513" s="93"/>
    </row>
    <row r="514" ht="15.75" customHeight="1">
      <c r="E514" s="92"/>
      <c r="F514" s="92"/>
      <c r="H514" s="93"/>
    </row>
    <row r="515" ht="15.75" customHeight="1">
      <c r="E515" s="92"/>
      <c r="F515" s="92"/>
      <c r="H515" s="93"/>
    </row>
    <row r="516" ht="15.75" customHeight="1">
      <c r="E516" s="92"/>
      <c r="F516" s="92"/>
      <c r="H516" s="93"/>
    </row>
    <row r="517" ht="15.75" customHeight="1">
      <c r="E517" s="92"/>
      <c r="F517" s="92"/>
      <c r="H517" s="93"/>
    </row>
    <row r="518" ht="15.75" customHeight="1">
      <c r="E518" s="92"/>
      <c r="F518" s="92"/>
      <c r="H518" s="93"/>
    </row>
    <row r="519" ht="15.75" customHeight="1">
      <c r="E519" s="92"/>
      <c r="F519" s="92"/>
      <c r="H519" s="93"/>
    </row>
    <row r="520" ht="15.75" customHeight="1">
      <c r="E520" s="92"/>
      <c r="F520" s="92"/>
      <c r="H520" s="93"/>
    </row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6"/>
    <hyperlink r:id="rId2" ref="G8"/>
    <hyperlink r:id="rId3" ref="G9"/>
    <hyperlink r:id="rId4" ref="G12"/>
    <hyperlink r:id="rId5" ref="G13"/>
    <hyperlink r:id="rId6" ref="G14"/>
    <hyperlink r:id="rId7" ref="G15"/>
    <hyperlink r:id="rId8" ref="G23"/>
    <hyperlink r:id="rId9" ref="G24"/>
    <hyperlink r:id="rId10" ref="G25"/>
    <hyperlink r:id="rId11" ref="G26"/>
    <hyperlink r:id="rId12" ref="G29"/>
    <hyperlink r:id="rId13" ref="G31"/>
    <hyperlink r:id="rId14" ref="G40"/>
    <hyperlink r:id="rId15" ref="G58"/>
    <hyperlink r:id="rId16" ref="G74"/>
    <hyperlink r:id="rId17" ref="G78"/>
    <hyperlink r:id="rId18" ref="G120"/>
    <hyperlink r:id="rId19" ref="G121"/>
    <hyperlink r:id="rId20" ref="G142"/>
    <hyperlink r:id="rId21" ref="G152"/>
    <hyperlink r:id="rId22" ref="G158"/>
    <hyperlink r:id="rId23" ref="G286"/>
  </hyperlinks>
  <printOptions/>
  <pageMargins bottom="0.75" footer="0.0" header="0.0" left="0.7" right="0.7" top="0.75"/>
  <pageSetup orientation="portrait"/>
  <drawing r:id="rId24"/>
</worksheet>
</file>